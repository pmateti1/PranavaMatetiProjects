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5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associate.png" ContentType="image/.png"/>
  <Override PartName="/customUI/images/home.png" ContentType="image/.png"/>
  <Override PartName="/customUI/images/remov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c9ef70aaab64f1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showSheetTabs="0" xWindow="240" yWindow="195" windowWidth="20115" windowHeight="7875" tabRatio="812"/>
  </bookViews>
  <sheets>
    <sheet name="Summary" sheetId="7" r:id="rId1"/>
    <sheet name="Associate_tracker" sheetId="2" r:id="rId2"/>
    <sheet name="Skill_Tracker" sheetId="3" r:id="rId3"/>
    <sheet name="Leave_Tracker" sheetId="4" r:id="rId4"/>
    <sheet name="One On One" sheetId="10" r:id="rId5"/>
    <sheet name="Removed Associates" sheetId="11" r:id="rId6"/>
    <sheet name="Controls" sheetId="5" r:id="rId7"/>
    <sheet name="Summary_Data" sheetId="8" r:id="rId8"/>
  </sheets>
  <externalReferences>
    <externalReference r:id="rId9"/>
  </externalReferences>
  <definedNames>
    <definedName name="_xlnm._FilterDatabase" localSheetId="3" hidden="1">Leave_Tracker!$A$10:$D$10</definedName>
    <definedName name="_xlnm._FilterDatabase" localSheetId="4" hidden="1">'One On One'!$A$7:$C$7</definedName>
    <definedName name="_xlnm._FilterDatabase" localSheetId="2" hidden="1">Skill_Tracker!$A$9:$AB$9</definedName>
    <definedName name="_xlnm._FilterDatabase" localSheetId="7" hidden="1">Summary_Data!$J$3:$K$18</definedName>
    <definedName name="chart_project">Summary_Data!$E$4</definedName>
    <definedName name="Date">Controls!$A$2:$A$32</definedName>
    <definedName name="Designation" localSheetId="0">OFFSET([1]Controls!$D$2,0,0,COUNTA([1]Controls!$D:$D)-1,1)</definedName>
    <definedName name="Designation" localSheetId="7">OFFSET([1]Controls!$D$2,0,0,COUNTA([1]Controls!$D:$D)-1,1)</definedName>
    <definedName name="Designation">OFFSET(Controls!$D$2,0,0,COUNTA(Controls!$D:$D)-1,1)</definedName>
    <definedName name="dyn_skil" localSheetId="7">OFFSET(IF(Summary_Data!$H$4=1,Summary_Data!$J$4:$J$13,IF(Summary_Data!$H$4=2,Summary_Data!$M$4:$M$10)),0,0,Summary_Data!$H$9,1)</definedName>
    <definedName name="dyn_val" localSheetId="7">OFFSET(IF(Summary_Data!$H$4=1,Summary_Data!$K$4:$K$13,IF(Summary_Data!$H$4=2,Summary_Data!$N$4:$N$10)),0,0,Summary_Data!$H$9,1)</definedName>
    <definedName name="gen_emp_id">OFFSET(Associate_tracker!$B$7,0,0,COUNTA(Associate_tracker!$B:$B)-1,1)</definedName>
    <definedName name="Leave_month">OFFSET(Controls!$CD2,0,0,COUNTA(Controls!$CD:$CD),1)</definedName>
    <definedName name="Manager" localSheetId="0">OFFSET([1]Controls!$F$2,0,0,COUNTA([1]Controls!$F:$F)-1,1)</definedName>
    <definedName name="Manager" localSheetId="7">OFFSET([1]Controls!$F$2,0,0,COUNTA([1]Controls!$F:$F)-1,1)</definedName>
    <definedName name="Manager">OFFSET(Controls!$F$2,0,0,COUNTA(Controls!$F:$F)-1,1)</definedName>
    <definedName name="mng_emp_id">OFFSET(Controls!$V$2,0,0,COUNTA(Controls!$V:$V)-1,1)</definedName>
    <definedName name="Month">Controls!$B$2:$B$13</definedName>
    <definedName name="Project" localSheetId="0">OFFSET([1]Controls!$E$2,0,0,COUNTA([1]Controls!$E:$E)-1,1)</definedName>
    <definedName name="Project" localSheetId="7">OFFSET([1]Controls!$E$2,0,0,COUNTA([1]Controls!$E:$E)-1,1)</definedName>
    <definedName name="Project">OFFSET(Controls!$E$2,0,0,COUNTA(Controls!$E:$E)-1,1)</definedName>
    <definedName name="Year">Controls!$C$2:$C$5</definedName>
  </definedNames>
  <calcPr calcId="144525"/>
</workbook>
</file>

<file path=xl/calcChain.xml><?xml version="1.0" encoding="utf-8"?>
<calcChain xmlns="http://schemas.openxmlformats.org/spreadsheetml/2006/main">
  <c r="F5" i="8" l="1"/>
  <c r="F6" i="8"/>
  <c r="F7" i="8"/>
  <c r="F8" i="8"/>
  <c r="F9" i="8"/>
  <c r="F10" i="8"/>
  <c r="F4" i="8"/>
  <c r="K8" i="11" l="1"/>
  <c r="G8" i="11"/>
  <c r="G15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N10" i="8"/>
  <c r="N9" i="8"/>
  <c r="N8" i="8"/>
  <c r="N7" i="8"/>
  <c r="N6" i="8"/>
  <c r="N5" i="8"/>
  <c r="N4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H9" i="8"/>
  <c r="G16" i="8" s="1"/>
  <c r="H5" i="8"/>
  <c r="G17" i="8" l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K17" i="2" l="1"/>
  <c r="K18" i="2"/>
  <c r="K19" i="2"/>
  <c r="K20" i="2"/>
  <c r="K21" i="2"/>
  <c r="K22" i="2"/>
  <c r="K23" i="2"/>
  <c r="K24" i="2"/>
  <c r="K25" i="2"/>
  <c r="K26" i="2"/>
  <c r="K27" i="2"/>
  <c r="K28" i="2"/>
  <c r="G17" i="2"/>
  <c r="G18" i="2"/>
  <c r="G19" i="2"/>
  <c r="G20" i="2"/>
  <c r="G21" i="2"/>
  <c r="G22" i="2"/>
  <c r="G23" i="2"/>
  <c r="G24" i="2"/>
  <c r="G25" i="2"/>
  <c r="G26" i="2"/>
  <c r="G27" i="2"/>
  <c r="G28" i="2"/>
  <c r="K8" i="2" l="1"/>
  <c r="K9" i="2"/>
  <c r="K10" i="2"/>
  <c r="K11" i="2"/>
  <c r="K12" i="2"/>
  <c r="K13" i="2"/>
  <c r="K14" i="2"/>
  <c r="K15" i="2"/>
  <c r="K16" i="2"/>
  <c r="K7" i="2"/>
  <c r="G8" i="2"/>
  <c r="G9" i="2"/>
  <c r="G10" i="2"/>
  <c r="G11" i="2"/>
  <c r="G12" i="2"/>
  <c r="G13" i="2"/>
  <c r="G14" i="2"/>
  <c r="G16" i="2"/>
  <c r="G7" i="2"/>
  <c r="K7" i="11" l="1"/>
  <c r="G7" i="11"/>
  <c r="K6" i="11"/>
  <c r="G6" i="11"/>
  <c r="K5" i="11" l="1"/>
  <c r="G5" i="11"/>
  <c r="K4" i="11"/>
  <c r="G4" i="11"/>
  <c r="EA8" i="3" l="1"/>
  <c r="EB8" i="3"/>
  <c r="EC8" i="3"/>
  <c r="ED8" i="3"/>
  <c r="EE8" i="3"/>
  <c r="EF8" i="3"/>
  <c r="EG8" i="3"/>
  <c r="EH8" i="3"/>
  <c r="EI8" i="3"/>
  <c r="EO8" i="3"/>
  <c r="EP8" i="3"/>
  <c r="EQ8" i="3"/>
  <c r="ER8" i="3"/>
  <c r="ES8" i="3"/>
  <c r="ET8" i="3"/>
  <c r="EU8" i="3"/>
  <c r="EV8" i="3"/>
  <c r="EW8" i="3"/>
  <c r="EX8" i="3"/>
  <c r="EY8" i="3"/>
  <c r="DZ8" i="3"/>
</calcChain>
</file>

<file path=xl/sharedStrings.xml><?xml version="1.0" encoding="utf-8"?>
<sst xmlns="http://schemas.openxmlformats.org/spreadsheetml/2006/main" count="1084" uniqueCount="208">
  <si>
    <t>Name</t>
  </si>
  <si>
    <t>Emp ID</t>
  </si>
  <si>
    <t>Axtria Joining Date</t>
  </si>
  <si>
    <t>Designation</t>
  </si>
  <si>
    <t>Reporting Manager</t>
  </si>
  <si>
    <t>Current Project</t>
  </si>
  <si>
    <t>AAA</t>
  </si>
  <si>
    <t>Date</t>
  </si>
  <si>
    <t>Month</t>
  </si>
  <si>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</si>
  <si>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</si>
  <si>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</si>
  <si>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</si>
  <si>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</si>
  <si>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</si>
  <si>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</si>
  <si>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</si>
  <si>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</si>
  <si>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</si>
  <si>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</si>
  <si>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</si>
  <si>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</si>
  <si>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Analyst Trainee</t>
  </si>
  <si>
    <t>Analyst</t>
  </si>
  <si>
    <t>Associate</t>
  </si>
  <si>
    <t>Senior Associate</t>
  </si>
  <si>
    <t>Engagement Manager</t>
  </si>
  <si>
    <t>Sr. Engagement Manager</t>
  </si>
  <si>
    <t>Associate Director</t>
  </si>
  <si>
    <t>Director</t>
  </si>
  <si>
    <t>Associate Principal</t>
  </si>
  <si>
    <t>Principal</t>
  </si>
  <si>
    <t>BSI</t>
  </si>
  <si>
    <t>Designations</t>
  </si>
  <si>
    <t>Product Development</t>
  </si>
  <si>
    <t>Manager</t>
  </si>
  <si>
    <t>Sandeep Gupta</t>
  </si>
  <si>
    <t>Amanjeet Saluja</t>
  </si>
  <si>
    <t>Gaurav Singh</t>
  </si>
  <si>
    <t>Kunal Chawla</t>
  </si>
  <si>
    <t>Arun Goyal</t>
  </si>
  <si>
    <t>Rajat Singhal</t>
  </si>
  <si>
    <t>Saksham Agarwal</t>
  </si>
  <si>
    <t>BFSI Joining Date</t>
  </si>
  <si>
    <t>Tu</t>
  </si>
  <si>
    <t>Mo</t>
  </si>
  <si>
    <t>Sun</t>
  </si>
  <si>
    <t>Mon</t>
  </si>
  <si>
    <t>Tue</t>
  </si>
  <si>
    <t>Wed</t>
  </si>
  <si>
    <t>Thu</t>
  </si>
  <si>
    <t>Fri</t>
  </si>
  <si>
    <t>Sat</t>
  </si>
  <si>
    <t>Tues</t>
  </si>
  <si>
    <t>SQL</t>
  </si>
  <si>
    <t>VBA</t>
  </si>
  <si>
    <t>R</t>
  </si>
  <si>
    <t>SAS</t>
  </si>
  <si>
    <t>Total Leaves</t>
  </si>
  <si>
    <t>Skill Set</t>
  </si>
  <si>
    <t>BFS Growth</t>
  </si>
  <si>
    <t>People Joining BFS</t>
  </si>
  <si>
    <t>Skills</t>
  </si>
  <si>
    <t>Jan'14</t>
  </si>
  <si>
    <t>Mar'14</t>
  </si>
  <si>
    <t>Apr'14</t>
  </si>
  <si>
    <t>May'14</t>
  </si>
  <si>
    <t>Jun'14</t>
  </si>
  <si>
    <t>Jul'14</t>
  </si>
  <si>
    <t>Aug'14</t>
  </si>
  <si>
    <t>Sep'14</t>
  </si>
  <si>
    <t>Oct'14</t>
  </si>
  <si>
    <t>Nov'14</t>
  </si>
  <si>
    <t>Dec'14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</si>
  <si>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</si>
  <si>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</si>
  <si>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</si>
  <si>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</si>
  <si>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</si>
  <si>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</si>
  <si>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</si>
  <si>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</si>
  <si>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</si>
  <si>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</si>
  <si>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</si>
  <si>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</si>
  <si>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Employee ID</t>
  </si>
  <si>
    <t>Project</t>
  </si>
  <si>
    <t>Capability Building</t>
  </si>
  <si>
    <t>limits taken</t>
  </si>
  <si>
    <t># associates</t>
  </si>
  <si>
    <t># Associates on projects</t>
  </si>
  <si>
    <t>Meeting Date</t>
  </si>
  <si>
    <t>Dates</t>
  </si>
  <si>
    <t>Passport No.</t>
  </si>
  <si>
    <t>Visa</t>
  </si>
  <si>
    <t>Total Experience</t>
  </si>
  <si>
    <t>Country</t>
  </si>
  <si>
    <t>Feb'14</t>
  </si>
  <si>
    <t>Within Axtria</t>
  </si>
  <si>
    <t>Outside Axtria</t>
  </si>
  <si>
    <t>Assciate Removal</t>
  </si>
  <si>
    <t>New Location</t>
  </si>
  <si>
    <t>Visa Options</t>
  </si>
  <si>
    <t>Yes</t>
  </si>
  <si>
    <t>No</t>
  </si>
  <si>
    <t>Ayush Agrawal</t>
  </si>
  <si>
    <t>A0335</t>
  </si>
  <si>
    <t>2</t>
  </si>
  <si>
    <t>25</t>
  </si>
  <si>
    <t>Credit Cards</t>
  </si>
  <si>
    <t>Credit Risk</t>
  </si>
  <si>
    <t>Loan/Mortgage</t>
  </si>
  <si>
    <t>Insurance</t>
  </si>
  <si>
    <t>Basel</t>
  </si>
  <si>
    <t>Telematics</t>
  </si>
  <si>
    <t>Testing</t>
  </si>
  <si>
    <t>Tableau</t>
  </si>
  <si>
    <t>Dot Net</t>
  </si>
  <si>
    <t>Java</t>
  </si>
  <si>
    <t>VisionPlus</t>
  </si>
  <si>
    <t>TSYS</t>
  </si>
  <si>
    <t>TRIUMPH</t>
  </si>
  <si>
    <t>TRIAD</t>
  </si>
  <si>
    <t>BLAZE Advisor</t>
  </si>
  <si>
    <t>SDS</t>
  </si>
  <si>
    <t>Mainframes</t>
  </si>
  <si>
    <t>Rating</t>
  </si>
  <si>
    <t>Logistic regression</t>
  </si>
  <si>
    <t>Linear regression</t>
  </si>
  <si>
    <t>Time series modeling</t>
  </si>
  <si>
    <t>Logistic Regression</t>
  </si>
  <si>
    <t>Time Series Modeling</t>
  </si>
  <si>
    <t>A0181</t>
  </si>
  <si>
    <t>29</t>
  </si>
  <si>
    <t>NA</t>
  </si>
  <si>
    <t>Priya Gautam</t>
  </si>
  <si>
    <t>Select rating dropdown</t>
  </si>
  <si>
    <t>Technical Skills</t>
  </si>
  <si>
    <t>Functional Skills</t>
  </si>
  <si>
    <t>Visionplus</t>
  </si>
  <si>
    <t>Technical</t>
  </si>
  <si>
    <t>Functional</t>
  </si>
  <si>
    <t>Cell link for skill chart</t>
  </si>
  <si>
    <t># Associates</t>
  </si>
  <si>
    <t>Pranava Mateti</t>
  </si>
  <si>
    <t>A0201</t>
  </si>
  <si>
    <t>All</t>
  </si>
  <si>
    <t>Amit Kumar</t>
  </si>
  <si>
    <t>Ankur Kulshrestha</t>
  </si>
  <si>
    <t>Arpit Arora</t>
  </si>
  <si>
    <t>Gagan Koduru</t>
  </si>
  <si>
    <t>Mohit Batra</t>
  </si>
  <si>
    <t>Niharika Khare</t>
  </si>
  <si>
    <t>Prakash Singh</t>
  </si>
  <si>
    <t>Rajat Sharma</t>
  </si>
  <si>
    <t>Richa Vashista</t>
  </si>
  <si>
    <t>Rishabh Gupta</t>
  </si>
  <si>
    <t>Saksham Agrawal</t>
  </si>
  <si>
    <t>Sumeet Chadha</t>
  </si>
  <si>
    <t>Vriti jain</t>
  </si>
  <si>
    <t>A0217</t>
  </si>
  <si>
    <t>A0296</t>
  </si>
  <si>
    <t>A0251</t>
  </si>
  <si>
    <t>A0242</t>
  </si>
  <si>
    <t>A0372</t>
  </si>
  <si>
    <t>A0040</t>
  </si>
  <si>
    <t>A0326</t>
  </si>
  <si>
    <t>A0266</t>
  </si>
  <si>
    <t>A0178</t>
  </si>
  <si>
    <t>A0341</t>
  </si>
  <si>
    <t>A0225</t>
  </si>
  <si>
    <t>A0368</t>
  </si>
  <si>
    <t>A0324</t>
  </si>
  <si>
    <t>A0358</t>
  </si>
  <si>
    <t>A0397</t>
  </si>
  <si>
    <t>A0168</t>
  </si>
  <si>
    <t>A0067</t>
  </si>
  <si>
    <t>A0398</t>
  </si>
  <si>
    <t>A0137</t>
  </si>
  <si>
    <t>Sr Engagement Manager</t>
  </si>
  <si>
    <t>Nitin Gupta</t>
  </si>
  <si>
    <t>Manish Mittal</t>
  </si>
  <si>
    <t>BD</t>
  </si>
  <si>
    <t>ACP</t>
  </si>
  <si>
    <t>AM-EX</t>
  </si>
  <si>
    <t>Multiple</t>
  </si>
  <si>
    <t>Business Development</t>
  </si>
  <si>
    <t>H 9342082</t>
  </si>
  <si>
    <t>L7552663</t>
  </si>
  <si>
    <t>K8030440</t>
  </si>
  <si>
    <t>J2775586</t>
  </si>
  <si>
    <t>G4466172</t>
  </si>
  <si>
    <t>K5145592</t>
  </si>
  <si>
    <t>K2325847</t>
  </si>
  <si>
    <t>F3854673</t>
  </si>
  <si>
    <t>A7980144</t>
  </si>
  <si>
    <t>K8078789</t>
  </si>
  <si>
    <t>Z1999727</t>
  </si>
  <si>
    <t>B1</t>
  </si>
  <si>
    <t>B1/B2</t>
  </si>
  <si>
    <t>B1/B2 (until 2017)</t>
  </si>
  <si>
    <t>H1</t>
  </si>
  <si>
    <t>UK</t>
  </si>
  <si>
    <t>USA</t>
  </si>
  <si>
    <t>US</t>
  </si>
  <si>
    <t>Admin</t>
  </si>
  <si>
    <t>A0999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</si>
</sst>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Arial"/>
      <family val="2"/>
    </font>
    <font>
      <b/>
      <sz val="8.8000000000000007"/>
      <color theme="1"/>
      <name val="Arial"/>
      <family val="2"/>
    </font>
    <font>
      <sz val="8.8000000000000007"/>
      <color theme="1"/>
      <name val="Arial"/>
      <family val="2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FFFFFF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F9CB9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dotted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dotted">
        <color rgb="FF000000"/>
      </left>
      <right style="thick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indexed="64"/>
      </right>
      <top style="medium">
        <color rgb="FF000000"/>
      </top>
      <bottom style="medium">
        <color rgb="FF000000"/>
      </bottom>
      <diagonal/>
    </border>
    <border>
      <left/>
      <right style="thick">
        <color indexed="64"/>
      </right>
      <top style="medium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indexed="64"/>
      </right>
      <top style="medium">
        <color rgb="FF000000"/>
      </top>
      <bottom style="medium">
        <color rgb="FF000000"/>
      </bottom>
      <diagonal/>
    </border>
    <border>
      <left style="thick">
        <color indexed="64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 style="dotted">
        <color rgb="FF000000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3" fillId="0" borderId="1" xfId="0" applyFont="1" applyBorder="1" applyAlignment="1">
      <alignment wrapText="1"/>
    </xf>
    <xf numFmtId="0" fontId="4" fillId="0" borderId="2" xfId="0" applyFont="1" applyBorder="1"/>
    <xf numFmtId="0" fontId="3" fillId="0" borderId="2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5" fillId="0" borderId="3" xfId="0" applyFont="1" applyBorder="1"/>
    <xf numFmtId="0" fontId="5" fillId="5" borderId="3" xfId="0" applyFont="1" applyFill="1" applyBorder="1"/>
    <xf numFmtId="0" fontId="5" fillId="6" borderId="4" xfId="0" applyFont="1" applyFill="1" applyBorder="1" applyAlignment="1">
      <alignment horizontal="right"/>
    </xf>
    <xf numFmtId="0" fontId="5" fillId="5" borderId="4" xfId="0" applyFont="1" applyFill="1" applyBorder="1" applyAlignment="1">
      <alignment horizontal="right"/>
    </xf>
    <xf numFmtId="0" fontId="5" fillId="6" borderId="3" xfId="0" applyFont="1" applyFill="1" applyBorder="1" applyAlignment="1">
      <alignment horizontal="right"/>
    </xf>
    <xf numFmtId="0" fontId="3" fillId="0" borderId="0" xfId="0" applyFont="1" applyBorder="1" applyAlignment="1">
      <alignment wrapText="1"/>
    </xf>
    <xf numFmtId="0" fontId="5" fillId="6" borderId="7" xfId="0" applyFont="1" applyFill="1" applyBorder="1" applyAlignment="1">
      <alignment horizontal="right"/>
    </xf>
    <xf numFmtId="0" fontId="5" fillId="6" borderId="10" xfId="0" applyFont="1" applyFill="1" applyBorder="1" applyAlignment="1">
      <alignment horizontal="right"/>
    </xf>
    <xf numFmtId="0" fontId="5" fillId="7" borderId="3" xfId="0" applyFont="1" applyFill="1" applyBorder="1"/>
    <xf numFmtId="0" fontId="5" fillId="8" borderId="4" xfId="0" applyFont="1" applyFill="1" applyBorder="1" applyAlignment="1">
      <alignment horizontal="right"/>
    </xf>
    <xf numFmtId="0" fontId="5" fillId="9" borderId="4" xfId="0" applyFont="1" applyFill="1" applyBorder="1" applyAlignment="1">
      <alignment horizontal="right"/>
    </xf>
    <xf numFmtId="0" fontId="5" fillId="3" borderId="3" xfId="0" applyFont="1" applyFill="1" applyBorder="1"/>
    <xf numFmtId="0" fontId="5" fillId="3" borderId="4" xfId="0" applyFont="1" applyFill="1" applyBorder="1" applyAlignment="1">
      <alignment horizontal="right"/>
    </xf>
    <xf numFmtId="0" fontId="5" fillId="10" borderId="4" xfId="0" applyFont="1" applyFill="1" applyBorder="1" applyAlignment="1">
      <alignment horizontal="right"/>
    </xf>
    <xf numFmtId="0" fontId="5" fillId="10" borderId="3" xfId="0" applyFont="1" applyFill="1" applyBorder="1"/>
    <xf numFmtId="0" fontId="5" fillId="8" borderId="9" xfId="0" applyFont="1" applyFill="1" applyBorder="1" applyAlignment="1">
      <alignment horizontal="right"/>
    </xf>
    <xf numFmtId="0" fontId="5" fillId="10" borderId="8" xfId="0" applyFont="1" applyFill="1" applyBorder="1"/>
    <xf numFmtId="0" fontId="5" fillId="10" borderId="9" xfId="0" applyFont="1" applyFill="1" applyBorder="1" applyAlignment="1">
      <alignment horizontal="right"/>
    </xf>
    <xf numFmtId="0" fontId="5" fillId="8" borderId="3" xfId="0" applyFont="1" applyFill="1" applyBorder="1" applyAlignment="1">
      <alignment horizontal="right"/>
    </xf>
    <xf numFmtId="0" fontId="5" fillId="3" borderId="3" xfId="0" applyFont="1" applyFill="1" applyBorder="1" applyAlignment="1">
      <alignment horizontal="right"/>
    </xf>
    <xf numFmtId="0" fontId="5" fillId="3" borderId="13" xfId="0" applyFont="1" applyFill="1" applyBorder="1"/>
    <xf numFmtId="0" fontId="5" fillId="0" borderId="13" xfId="0" applyFont="1" applyBorder="1"/>
    <xf numFmtId="0" fontId="5" fillId="0" borderId="13" xfId="0" applyFont="1" applyFill="1" applyBorder="1"/>
    <xf numFmtId="0" fontId="5" fillId="5" borderId="13" xfId="0" applyFont="1" applyFill="1" applyBorder="1"/>
    <xf numFmtId="0" fontId="5" fillId="3" borderId="18" xfId="0" applyFont="1" applyFill="1" applyBorder="1" applyAlignment="1">
      <alignment horizontal="right"/>
    </xf>
    <xf numFmtId="0" fontId="5" fillId="8" borderId="1" xfId="0" applyFont="1" applyFill="1" applyBorder="1" applyAlignment="1">
      <alignment horizontal="right"/>
    </xf>
    <xf numFmtId="0" fontId="5" fillId="8" borderId="13" xfId="0" applyFont="1" applyFill="1" applyBorder="1" applyAlignment="1">
      <alignment horizontal="right"/>
    </xf>
    <xf numFmtId="0" fontId="5" fillId="3" borderId="10" xfId="0" applyFont="1" applyFill="1" applyBorder="1" applyAlignment="1">
      <alignment horizontal="right"/>
    </xf>
    <xf numFmtId="0" fontId="5" fillId="3" borderId="2" xfId="0" applyFont="1" applyFill="1" applyBorder="1"/>
    <xf numFmtId="0" fontId="5" fillId="7" borderId="2" xfId="0" applyFont="1" applyFill="1" applyBorder="1"/>
    <xf numFmtId="0" fontId="5" fillId="0" borderId="2" xfId="0" applyFont="1" applyBorder="1"/>
    <xf numFmtId="0" fontId="5" fillId="3" borderId="13" xfId="0" applyFont="1" applyFill="1" applyBorder="1" applyAlignment="1">
      <alignment horizontal="right"/>
    </xf>
    <xf numFmtId="0" fontId="5" fillId="6" borderId="13" xfId="0" applyFont="1" applyFill="1" applyBorder="1" applyAlignment="1">
      <alignment horizontal="right"/>
    </xf>
    <xf numFmtId="0" fontId="4" fillId="0" borderId="0" xfId="0" applyFont="1" applyBorder="1"/>
    <xf numFmtId="0" fontId="5" fillId="8" borderId="10" xfId="0" applyFont="1" applyFill="1" applyBorder="1" applyAlignment="1">
      <alignment horizontal="right"/>
    </xf>
    <xf numFmtId="0" fontId="0" fillId="0" borderId="0" xfId="0" applyBorder="1"/>
    <xf numFmtId="0" fontId="4" fillId="0" borderId="19" xfId="0" applyFont="1" applyBorder="1"/>
    <xf numFmtId="0" fontId="3" fillId="0" borderId="20" xfId="0" applyFont="1" applyBorder="1" applyAlignment="1">
      <alignment wrapText="1"/>
    </xf>
    <xf numFmtId="0" fontId="0" fillId="0" borderId="21" xfId="0" applyBorder="1"/>
    <xf numFmtId="0" fontId="6" fillId="0" borderId="0" xfId="0" applyFont="1"/>
    <xf numFmtId="0" fontId="0" fillId="0" borderId="0" xfId="0" applyAlignment="1">
      <alignment horizontal="center"/>
    </xf>
    <xf numFmtId="0" fontId="9" fillId="11" borderId="0" xfId="0" applyFont="1" applyFill="1" applyAlignment="1">
      <alignment horizontal="center"/>
    </xf>
    <xf numFmtId="14" fontId="0" fillId="0" borderId="21" xfId="0" applyNumberFormat="1" applyBorder="1" applyAlignment="1">
      <alignment horizontal="center"/>
    </xf>
    <xf numFmtId="49" fontId="0" fillId="0" borderId="0" xfId="0" applyNumberFormat="1"/>
    <xf numFmtId="49" fontId="0" fillId="0" borderId="21" xfId="0" applyNumberFormat="1" applyBorder="1"/>
    <xf numFmtId="0" fontId="7" fillId="0" borderId="0" xfId="0" applyFont="1"/>
    <xf numFmtId="0" fontId="0" fillId="0" borderId="0" xfId="0" quotePrefix="1"/>
    <xf numFmtId="14" fontId="0" fillId="0" borderId="0" xfId="0" applyNumberFormat="1"/>
    <xf numFmtId="49" fontId="2" fillId="2" borderId="0" xfId="0" applyNumberFormat="1" applyFont="1" applyFill="1" applyAlignment="1">
      <alignment horizontal="center"/>
    </xf>
    <xf numFmtId="0" fontId="0" fillId="0" borderId="21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4" fontId="10" fillId="7" borderId="21" xfId="0" applyNumberFormat="1" applyFont="1" applyFill="1" applyBorder="1"/>
    <xf numFmtId="0" fontId="0" fillId="4" borderId="0" xfId="0" applyFill="1"/>
    <xf numFmtId="0" fontId="0" fillId="0" borderId="21" xfId="0" applyFill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0" fontId="0" fillId="0" borderId="21" xfId="0" applyBorder="1" applyAlignment="1" applyProtection="1">
      <alignment horizontal="center"/>
      <protection locked="0"/>
    </xf>
    <xf numFmtId="14" fontId="0" fillId="0" borderId="21" xfId="0" applyNumberForma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/>
    </xf>
    <xf numFmtId="0" fontId="4" fillId="4" borderId="12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1">
    <dxf>
      <fill>
        <patternFill>
          <bgColor rgb="FFFF6353"/>
        </patternFill>
      </fill>
    </dxf>
  </dxfs>
  <tableStyles count="0" defaultTableStyle="TableStyleMedium2" defaultPivotStyle="PivotStyleLight16"/>
  <colors>
    <mruColors>
      <color rgb="FFFF6353"/>
      <color rgb="FFFF6565"/>
      <color rgb="FFFD4E41"/>
      <color rgb="FFFD3E2F"/>
      <color rgb="FFFC3918"/>
      <color rgb="FFFC3732"/>
      <color rgb="FFFF4747"/>
      <color rgb="FFFF1D1D"/>
      <color rgb="FFFD6A5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Summary_Data!$C$3</c:f>
              <c:strCache>
                <c:ptCount val="1"/>
                <c:pt idx="0">
                  <c:v>People Joining BFS</c:v>
                </c:pt>
              </c:strCache>
            </c:strRef>
          </c:tx>
          <c:invertIfNegative val="0"/>
          <c:cat>
            <c:strRef>
              <c:f>Summary_Data!$B$4:$B$16</c:f>
              <c:strCache>
                <c:ptCount val="13"/>
                <c:pt idx="0">
                  <c:v>2013</c:v>
                </c:pt>
                <c:pt idx="1">
                  <c:v>Jan'14</c:v>
                </c:pt>
                <c:pt idx="2">
                  <c:v>Feb'14</c:v>
                </c:pt>
                <c:pt idx="3">
                  <c:v>Mar'14</c:v>
                </c:pt>
                <c:pt idx="4">
                  <c:v>Apr'14</c:v>
                </c:pt>
                <c:pt idx="5">
                  <c:v>May'14</c:v>
                </c:pt>
                <c:pt idx="6">
                  <c:v>Jun'14</c:v>
                </c:pt>
                <c:pt idx="7">
                  <c:v>Jul'14</c:v>
                </c:pt>
                <c:pt idx="8">
                  <c:v>Aug'14</c:v>
                </c:pt>
                <c:pt idx="9">
                  <c:v>Sep'14</c:v>
                </c:pt>
                <c:pt idx="10">
                  <c:v>Oct'14</c:v>
                </c:pt>
                <c:pt idx="11">
                  <c:v>Nov'14</c:v>
                </c:pt>
                <c:pt idx="12">
                  <c:v>Dec'14</c:v>
                </c:pt>
              </c:strCache>
            </c:strRef>
          </c:cat>
          <c:val>
            <c:numRef>
              <c:f>Summary_Data!$C$4:$C$16</c:f>
              <c:numCache>
                <c:formatCode>General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20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22</c:v>
                </c:pt>
                <c:pt idx="12">
                  <c:v>22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1180032"/>
        <c:axId val="193119360"/>
      </c:barChart>
      <c:catAx>
        <c:axId val="1311800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3119360"/>
        <c:crosses val="autoZero"/>
        <c:auto val="1"/>
        <c:lblAlgn val="ctr"/>
        <c:lblOffset val="100"/>
        <c:noMultiLvlLbl val="0"/>
      </c:catAx>
      <c:valAx>
        <c:axId val="193119360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 Associates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1180032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Summary_Data!$H$5</c:f>
              <c:strCache>
                <c:ptCount val="1"/>
                <c:pt idx="0">
                  <c:v>Technical Skills</c:v>
                </c:pt>
              </c:strCache>
            </c:strRef>
          </c:tx>
          <c:invertIfNegative val="0"/>
          <c:cat>
            <c:strRef>
              <c:f>Summary_Data!dyn_skil</c:f>
              <c:strCache>
                <c:ptCount val="10"/>
                <c:pt idx="0">
                  <c:v>SAS</c:v>
                </c:pt>
                <c:pt idx="1">
                  <c:v>R</c:v>
                </c:pt>
                <c:pt idx="2">
                  <c:v>SQL</c:v>
                </c:pt>
                <c:pt idx="3">
                  <c:v>VBA</c:v>
                </c:pt>
                <c:pt idx="4">
                  <c:v>Tableau</c:v>
                </c:pt>
                <c:pt idx="5">
                  <c:v>Dot Net</c:v>
                </c:pt>
                <c:pt idx="6">
                  <c:v>Java</c:v>
                </c:pt>
                <c:pt idx="7">
                  <c:v>Visionplus</c:v>
                </c:pt>
                <c:pt idx="8">
                  <c:v>TSYS</c:v>
                </c:pt>
                <c:pt idx="9">
                  <c:v>TRIUMPH</c:v>
                </c:pt>
              </c:strCache>
            </c:strRef>
          </c:cat>
          <c:val>
            <c:numRef>
              <c:f>Summary_Data!dyn_val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1196416"/>
        <c:axId val="223519872"/>
      </c:barChart>
      <c:catAx>
        <c:axId val="13119641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223519872"/>
        <c:crosses val="autoZero"/>
        <c:auto val="1"/>
        <c:lblAlgn val="ctr"/>
        <c:lblOffset val="100"/>
        <c:noMultiLvlLbl val="0"/>
      </c:catAx>
      <c:valAx>
        <c:axId val="2235198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US" sz="1000"/>
                  <a:t># Associates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1196416"/>
        <c:crosses val="autoZero"/>
        <c:crossBetween val="between"/>
        <c:minorUnit val="1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Summary_Data!$F$3</c:f>
              <c:strCache>
                <c:ptCount val="1"/>
                <c:pt idx="0">
                  <c:v># Associates on projects</c:v>
                </c:pt>
              </c:strCache>
            </c:strRef>
          </c:tx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Summary_Data!$E$4:$E$10</c:f>
              <c:strCache>
                <c:ptCount val="7"/>
                <c:pt idx="0">
                  <c:v>ACP</c:v>
                </c:pt>
                <c:pt idx="1">
                  <c:v>BSI</c:v>
                </c:pt>
                <c:pt idx="2">
                  <c:v>Product Development</c:v>
                </c:pt>
                <c:pt idx="3">
                  <c:v>Capability Building</c:v>
                </c:pt>
                <c:pt idx="4">
                  <c:v>Business Development</c:v>
                </c:pt>
                <c:pt idx="5">
                  <c:v>AM-EX</c:v>
                </c:pt>
                <c:pt idx="6">
                  <c:v>Multiple</c:v>
                </c:pt>
              </c:strCache>
            </c:strRef>
          </c:cat>
          <c:val>
            <c:numRef>
              <c:f>Summary_Data!$F$4:$F$10</c:f>
              <c:numCache>
                <c:formatCode>General</c:formatCode>
                <c:ptCount val="7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5</c:v>
                </c:pt>
                <c:pt idx="6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511296"/>
        <c:axId val="223521600"/>
      </c:barChart>
      <c:catAx>
        <c:axId val="1315112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223521600"/>
        <c:crosses val="autoZero"/>
        <c:auto val="1"/>
        <c:lblAlgn val="ctr"/>
        <c:lblOffset val="100"/>
        <c:noMultiLvlLbl val="0"/>
      </c:catAx>
      <c:valAx>
        <c:axId val="223521600"/>
        <c:scaling>
          <c:orientation val="minMax"/>
        </c:scaling>
        <c:delete val="0"/>
        <c:axPos val="l"/>
        <c:majorGridlines>
          <c:spPr>
            <a:ln w="9525"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 Associates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1511296"/>
        <c:crosses val="autoZero"/>
        <c:crossBetween val="between"/>
        <c:minorUnit val="2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Lines="2" dropStyle="combo" dx="16" fmlaLink="Summary_Data!$H$4" fmlaRange="Controls!$Q$2:$Q$3" noThreeD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" dropStyle="combo" dx="16" fmlaLink="Controls!$P$2" fmlaRange="Controls!$Q$6:$Q$10" noThreeD="1" sel="5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57153</xdr:rowOff>
    </xdr:from>
    <xdr:to>
      <xdr:col>19</xdr:col>
      <xdr:colOff>447675</xdr:colOff>
      <xdr:row>29</xdr:row>
      <xdr:rowOff>19050</xdr:rowOff>
    </xdr:to>
    <xdr:sp macro="" textlink="">
      <xdr:nvSpPr>
        <xdr:cNvPr id="2" name="Rectangle 1"/>
        <xdr:cNvSpPr/>
      </xdr:nvSpPr>
      <xdr:spPr>
        <a:xfrm>
          <a:off x="0" y="438153"/>
          <a:ext cx="12020550" cy="5105397"/>
        </a:xfrm>
        <a:prstGeom prst="rect">
          <a:avLst/>
        </a:prstGeom>
        <a:solidFill>
          <a:schemeClr val="accent3">
            <a:alpha val="10000"/>
          </a:schemeClr>
        </a:solidFill>
        <a:ln w="12700"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z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19</xdr:col>
      <xdr:colOff>447675</xdr:colOff>
      <xdr:row>2</xdr:row>
      <xdr:rowOff>47625</xdr:rowOff>
    </xdr:to>
    <xdr:sp macro="" textlink="">
      <xdr:nvSpPr>
        <xdr:cNvPr id="3" name="Rectangle 2"/>
        <xdr:cNvSpPr/>
      </xdr:nvSpPr>
      <xdr:spPr>
        <a:xfrm>
          <a:off x="0" y="190500"/>
          <a:ext cx="12030075" cy="238125"/>
        </a:xfrm>
        <a:prstGeom prst="rect">
          <a:avLst/>
        </a:prstGeom>
        <a:solidFill>
          <a:schemeClr val="accent3"/>
        </a:solidFill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BFS Overview</a:t>
          </a:r>
          <a:endParaRPr lang="en-US" sz="1600" b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92090</xdr:colOff>
      <xdr:row>2</xdr:row>
      <xdr:rowOff>153912</xdr:rowOff>
    </xdr:from>
    <xdr:to>
      <xdr:col>1</xdr:col>
      <xdr:colOff>385840</xdr:colOff>
      <xdr:row>4</xdr:row>
      <xdr:rowOff>80589</xdr:rowOff>
    </xdr:to>
    <xdr:pic>
      <xdr:nvPicPr>
        <xdr:cNvPr id="4" name="Picture 3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92090" y="534912"/>
          <a:ext cx="903350" cy="307677"/>
        </a:xfrm>
        <a:prstGeom prst="rect">
          <a:avLst/>
        </a:prstGeom>
        <a:ln>
          <a:noFill/>
        </a:ln>
        <a:effectLst/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542925</xdr:colOff>
      <xdr:row>4</xdr:row>
      <xdr:rowOff>104779</xdr:rowOff>
    </xdr:from>
    <xdr:to>
      <xdr:col>9</xdr:col>
      <xdr:colOff>38099</xdr:colOff>
      <xdr:row>14</xdr:row>
      <xdr:rowOff>0</xdr:rowOff>
    </xdr:to>
    <xdr:sp macro="" textlink="">
      <xdr:nvSpPr>
        <xdr:cNvPr id="5" name="Rectangle 4"/>
        <xdr:cNvSpPr/>
      </xdr:nvSpPr>
      <xdr:spPr>
        <a:xfrm>
          <a:off x="1762125" y="866779"/>
          <a:ext cx="4514849" cy="1800221"/>
        </a:xfrm>
        <a:prstGeom prst="rect">
          <a:avLst/>
        </a:prstGeom>
        <a:noFill/>
        <a:ln w="12700">
          <a:solidFill>
            <a:schemeClr val="accent3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561975</xdr:colOff>
      <xdr:row>3</xdr:row>
      <xdr:rowOff>57153</xdr:rowOff>
    </xdr:from>
    <xdr:to>
      <xdr:col>9</xdr:col>
      <xdr:colOff>76200</xdr:colOff>
      <xdr:row>4</xdr:row>
      <xdr:rowOff>85725</xdr:rowOff>
    </xdr:to>
    <xdr:sp macro="" textlink="">
      <xdr:nvSpPr>
        <xdr:cNvPr id="6" name="Rectangle 5"/>
        <xdr:cNvSpPr/>
      </xdr:nvSpPr>
      <xdr:spPr>
        <a:xfrm>
          <a:off x="1781175" y="628653"/>
          <a:ext cx="4533900" cy="219072"/>
        </a:xfrm>
        <a:prstGeom prst="rect">
          <a:avLst/>
        </a:prstGeom>
        <a:solidFill>
          <a:schemeClr val="accent3"/>
        </a:solidFill>
        <a:ln>
          <a:noFill/>
        </a:ln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200" b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BFS Growth - Associates </a:t>
          </a:r>
        </a:p>
      </xdr:txBody>
    </xdr:sp>
    <xdr:clientData/>
  </xdr:twoCellAnchor>
  <xdr:twoCellAnchor>
    <xdr:from>
      <xdr:col>9</xdr:col>
      <xdr:colOff>428626</xdr:colOff>
      <xdr:row>4</xdr:row>
      <xdr:rowOff>66680</xdr:rowOff>
    </xdr:from>
    <xdr:to>
      <xdr:col>18</xdr:col>
      <xdr:colOff>180975</xdr:colOff>
      <xdr:row>14</xdr:row>
      <xdr:rowOff>19050</xdr:rowOff>
    </xdr:to>
    <xdr:sp macro="" textlink="">
      <xdr:nvSpPr>
        <xdr:cNvPr id="11" name="Rectangle 10"/>
        <xdr:cNvSpPr/>
      </xdr:nvSpPr>
      <xdr:spPr>
        <a:xfrm>
          <a:off x="6667501" y="828680"/>
          <a:ext cx="4476749" cy="1857370"/>
        </a:xfrm>
        <a:prstGeom prst="rect">
          <a:avLst/>
        </a:prstGeom>
        <a:noFill/>
        <a:ln w="12700">
          <a:solidFill>
            <a:schemeClr val="accent3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428625</xdr:colOff>
      <xdr:row>3</xdr:row>
      <xdr:rowOff>66678</xdr:rowOff>
    </xdr:from>
    <xdr:to>
      <xdr:col>18</xdr:col>
      <xdr:colOff>190500</xdr:colOff>
      <xdr:row>4</xdr:row>
      <xdr:rowOff>95250</xdr:rowOff>
    </xdr:to>
    <xdr:sp macro="" textlink="">
      <xdr:nvSpPr>
        <xdr:cNvPr id="12" name="Rectangle 11"/>
        <xdr:cNvSpPr/>
      </xdr:nvSpPr>
      <xdr:spPr>
        <a:xfrm>
          <a:off x="6667500" y="638178"/>
          <a:ext cx="4486275" cy="219072"/>
        </a:xfrm>
        <a:prstGeom prst="rect">
          <a:avLst/>
        </a:prstGeom>
        <a:solidFill>
          <a:schemeClr val="accent3"/>
        </a:solidFill>
        <a:ln>
          <a:noFill/>
        </a:ln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BFS Resource Allocation </a:t>
          </a:r>
          <a:endParaRPr lang="en-US" sz="1200">
            <a:effectLst/>
          </a:endParaRPr>
        </a:p>
      </xdr:txBody>
    </xdr:sp>
    <xdr:clientData/>
  </xdr:twoCellAnchor>
  <xdr:twoCellAnchor>
    <xdr:from>
      <xdr:col>2</xdr:col>
      <xdr:colOff>552450</xdr:colOff>
      <xdr:row>4</xdr:row>
      <xdr:rowOff>80963</xdr:rowOff>
    </xdr:from>
    <xdr:to>
      <xdr:col>9</xdr:col>
      <xdr:colOff>38101</xdr:colOff>
      <xdr:row>14</xdr:row>
      <xdr:rowOff>9525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304801</xdr:colOff>
      <xdr:row>16</xdr:row>
      <xdr:rowOff>114299</xdr:rowOff>
    </xdr:from>
    <xdr:to>
      <xdr:col>14</xdr:col>
      <xdr:colOff>314325</xdr:colOff>
      <xdr:row>27</xdr:row>
      <xdr:rowOff>38100</xdr:rowOff>
    </xdr:to>
    <xdr:sp macro="" textlink="">
      <xdr:nvSpPr>
        <xdr:cNvPr id="16" name="Rectangle 15"/>
        <xdr:cNvSpPr/>
      </xdr:nvSpPr>
      <xdr:spPr>
        <a:xfrm>
          <a:off x="4314826" y="3162299"/>
          <a:ext cx="4524374" cy="2019301"/>
        </a:xfrm>
        <a:prstGeom prst="rect">
          <a:avLst/>
        </a:prstGeom>
        <a:noFill/>
        <a:ln w="12700">
          <a:solidFill>
            <a:schemeClr val="accent3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276225</xdr:colOff>
      <xdr:row>15</xdr:row>
      <xdr:rowOff>76202</xdr:rowOff>
    </xdr:from>
    <xdr:to>
      <xdr:col>14</xdr:col>
      <xdr:colOff>333374</xdr:colOff>
      <xdr:row>16</xdr:row>
      <xdr:rowOff>114300</xdr:rowOff>
    </xdr:to>
    <xdr:sp macro="" textlink="">
      <xdr:nvSpPr>
        <xdr:cNvPr id="17" name="Rectangle 16"/>
        <xdr:cNvSpPr/>
      </xdr:nvSpPr>
      <xdr:spPr>
        <a:xfrm>
          <a:off x="4286250" y="2933702"/>
          <a:ext cx="4571999" cy="228598"/>
        </a:xfrm>
        <a:prstGeom prst="rect">
          <a:avLst/>
        </a:prstGeom>
        <a:solidFill>
          <a:schemeClr val="accent3"/>
        </a:solidFill>
        <a:ln>
          <a:noFill/>
        </a:ln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200" b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Associates Skills Distribution</a:t>
          </a:r>
        </a:p>
      </xdr:txBody>
    </xdr:sp>
    <xdr:clientData/>
  </xdr:twoCellAnchor>
  <xdr:twoCellAnchor>
    <xdr:from>
      <xdr:col>7</xdr:col>
      <xdr:colOff>295275</xdr:colOff>
      <xdr:row>18</xdr:row>
      <xdr:rowOff>85724</xdr:rowOff>
    </xdr:from>
    <xdr:to>
      <xdr:col>14</xdr:col>
      <xdr:colOff>323850</xdr:colOff>
      <xdr:row>27</xdr:row>
      <xdr:rowOff>38099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438150</xdr:colOff>
      <xdr:row>4</xdr:row>
      <xdr:rowOff>90487</xdr:rowOff>
    </xdr:from>
    <xdr:to>
      <xdr:col>18</xdr:col>
      <xdr:colOff>171450</xdr:colOff>
      <xdr:row>14</xdr:row>
      <xdr:rowOff>19050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16</xdr:row>
          <xdr:rowOff>171450</xdr:rowOff>
        </xdr:from>
        <xdr:to>
          <xdr:col>14</xdr:col>
          <xdr:colOff>142875</xdr:colOff>
          <xdr:row>17</xdr:row>
          <xdr:rowOff>180975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0</xdr:row>
      <xdr:rowOff>85725</xdr:rowOff>
    </xdr:from>
    <xdr:to>
      <xdr:col>2</xdr:col>
      <xdr:colOff>266700</xdr:colOff>
      <xdr:row>4</xdr:row>
      <xdr:rowOff>152399</xdr:rowOff>
    </xdr:to>
    <xdr:sp macro="" textlink="">
      <xdr:nvSpPr>
        <xdr:cNvPr id="5" name="Rectangle 4"/>
        <xdr:cNvSpPr/>
      </xdr:nvSpPr>
      <xdr:spPr>
        <a:xfrm>
          <a:off x="409575" y="85725"/>
          <a:ext cx="3000375" cy="828674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>
          <a:solidFill>
            <a:schemeClr val="accent3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0</xdr:row>
          <xdr:rowOff>152400</xdr:rowOff>
        </xdr:from>
        <xdr:to>
          <xdr:col>0</xdr:col>
          <xdr:colOff>1714500</xdr:colOff>
          <xdr:row>2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Yourself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3</xdr:row>
          <xdr:rowOff>0</xdr:rowOff>
        </xdr:from>
        <xdr:to>
          <xdr:col>0</xdr:col>
          <xdr:colOff>1724025</xdr:colOff>
          <xdr:row>4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Your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171450</xdr:rowOff>
        </xdr:from>
        <xdr:to>
          <xdr:col>2</xdr:col>
          <xdr:colOff>133350</xdr:colOff>
          <xdr:row>3</xdr:row>
          <xdr:rowOff>85725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Associate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1114425</xdr:colOff>
      <xdr:row>0</xdr:row>
      <xdr:rowOff>76200</xdr:rowOff>
    </xdr:from>
    <xdr:to>
      <xdr:col>3</xdr:col>
      <xdr:colOff>1276349</xdr:colOff>
      <xdr:row>7</xdr:row>
      <xdr:rowOff>76200</xdr:rowOff>
    </xdr:to>
    <xdr:sp macro="" textlink="">
      <xdr:nvSpPr>
        <xdr:cNvPr id="7" name="Rectangle 6"/>
        <xdr:cNvSpPr/>
      </xdr:nvSpPr>
      <xdr:spPr>
        <a:xfrm>
          <a:off x="2286000" y="76200"/>
          <a:ext cx="3219449" cy="13335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>
          <a:solidFill>
            <a:schemeClr val="accent3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123825</xdr:colOff>
      <xdr:row>0</xdr:row>
      <xdr:rowOff>133350</xdr:rowOff>
    </xdr:from>
    <xdr:to>
      <xdr:col>1</xdr:col>
      <xdr:colOff>981075</xdr:colOff>
      <xdr:row>5</xdr:row>
      <xdr:rowOff>133350</xdr:rowOff>
    </xdr:to>
    <xdr:sp macro="" textlink="">
      <xdr:nvSpPr>
        <xdr:cNvPr id="8" name="Rectangle 7"/>
        <xdr:cNvSpPr/>
      </xdr:nvSpPr>
      <xdr:spPr>
        <a:xfrm>
          <a:off x="123825" y="133350"/>
          <a:ext cx="2028825" cy="9525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>
          <a:solidFill>
            <a:schemeClr val="accent3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2</xdr:row>
          <xdr:rowOff>9525</xdr:rowOff>
        </xdr:from>
        <xdr:to>
          <xdr:col>1</xdr:col>
          <xdr:colOff>828675</xdr:colOff>
          <xdr:row>3</xdr:row>
          <xdr:rowOff>152400</xdr:rowOff>
        </xdr:to>
        <xdr:sp macro="" textlink="">
          <xdr:nvSpPr>
            <xdr:cNvPr id="5129" name="CommandButton1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114300</xdr:rowOff>
        </xdr:from>
        <xdr:to>
          <xdr:col>3</xdr:col>
          <xdr:colOff>1200150</xdr:colOff>
          <xdr:row>3</xdr:row>
          <xdr:rowOff>133350</xdr:rowOff>
        </xdr:to>
        <xdr:sp macro="" textlink="">
          <xdr:nvSpPr>
            <xdr:cNvPr id="5133" name="Drop Dow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1181100</xdr:colOff>
          <xdr:row>2</xdr:row>
          <xdr:rowOff>47625</xdr:rowOff>
        </xdr:from>
        <xdr:to>
          <xdr:col>2</xdr:col>
          <xdr:colOff>1714500</xdr:colOff>
          <xdr:row>6</xdr:row>
          <xdr:rowOff>85725</xdr:rowOff>
        </xdr:to>
        <xdr:sp macro="" textlink="">
          <xdr:nvSpPr>
            <xdr:cNvPr id="5135" name="Skill_listbox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1781175</xdr:colOff>
          <xdr:row>4</xdr:row>
          <xdr:rowOff>66675</xdr:rowOff>
        </xdr:from>
        <xdr:to>
          <xdr:col>3</xdr:col>
          <xdr:colOff>1209675</xdr:colOff>
          <xdr:row>5</xdr:row>
          <xdr:rowOff>152400</xdr:rowOff>
        </xdr:to>
        <xdr:sp macro="" textlink="">
          <xdr:nvSpPr>
            <xdr:cNvPr id="5136" name="Execute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323850</xdr:colOff>
      <xdr:row>0</xdr:row>
      <xdr:rowOff>152400</xdr:rowOff>
    </xdr:from>
    <xdr:to>
      <xdr:col>2</xdr:col>
      <xdr:colOff>1247775</xdr:colOff>
      <xdr:row>1</xdr:row>
      <xdr:rowOff>171450</xdr:rowOff>
    </xdr:to>
    <xdr:sp macro="" textlink="">
      <xdr:nvSpPr>
        <xdr:cNvPr id="2" name="Rectangle 1"/>
        <xdr:cNvSpPr/>
      </xdr:nvSpPr>
      <xdr:spPr>
        <a:xfrm>
          <a:off x="2752725" y="152400"/>
          <a:ext cx="923925" cy="2095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sng">
              <a:solidFill>
                <a:schemeClr val="tx1"/>
              </a:solidFill>
            </a:rPr>
            <a:t>Select Skill(s)</a:t>
          </a:r>
        </a:p>
      </xdr:txBody>
    </xdr:sp>
    <xdr:clientData/>
  </xdr:twoCellAnchor>
  <xdr:twoCellAnchor>
    <xdr:from>
      <xdr:col>2</xdr:col>
      <xdr:colOff>1771650</xdr:colOff>
      <xdr:row>0</xdr:row>
      <xdr:rowOff>142875</xdr:rowOff>
    </xdr:from>
    <xdr:to>
      <xdr:col>3</xdr:col>
      <xdr:colOff>1238251</xdr:colOff>
      <xdr:row>2</xdr:row>
      <xdr:rowOff>38100</xdr:rowOff>
    </xdr:to>
    <xdr:sp macro="" textlink="">
      <xdr:nvSpPr>
        <xdr:cNvPr id="10" name="Rectangle 9"/>
        <xdr:cNvSpPr/>
      </xdr:nvSpPr>
      <xdr:spPr>
        <a:xfrm>
          <a:off x="4200525" y="142875"/>
          <a:ext cx="1266826" cy="2762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sng">
              <a:solidFill>
                <a:schemeClr val="tx1"/>
              </a:solidFill>
            </a:rPr>
            <a:t>Select Skill Rating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0</xdr:row>
      <xdr:rowOff>104775</xdr:rowOff>
    </xdr:from>
    <xdr:to>
      <xdr:col>2</xdr:col>
      <xdr:colOff>1057274</xdr:colOff>
      <xdr:row>7</xdr:row>
      <xdr:rowOff>190500</xdr:rowOff>
    </xdr:to>
    <xdr:sp macro="" textlink="">
      <xdr:nvSpPr>
        <xdr:cNvPr id="6" name="Rectangle 5"/>
        <xdr:cNvSpPr/>
      </xdr:nvSpPr>
      <xdr:spPr>
        <a:xfrm>
          <a:off x="123824" y="104775"/>
          <a:ext cx="3362325" cy="14287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>
          <a:solidFill>
            <a:schemeClr val="accent3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47625</xdr:rowOff>
        </xdr:from>
        <xdr:to>
          <xdr:col>1</xdr:col>
          <xdr:colOff>447675</xdr:colOff>
          <xdr:row>6</xdr:row>
          <xdr:rowOff>180975</xdr:rowOff>
        </xdr:to>
        <xdr:sp macro="" textlink="">
          <xdr:nvSpPr>
            <xdr:cNvPr id="6149" name="Month_listbox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647700</xdr:colOff>
          <xdr:row>3</xdr:row>
          <xdr:rowOff>66675</xdr:rowOff>
        </xdr:from>
        <xdr:to>
          <xdr:col>2</xdr:col>
          <xdr:colOff>895350</xdr:colOff>
          <xdr:row>5</xdr:row>
          <xdr:rowOff>9525</xdr:rowOff>
        </xdr:to>
        <xdr:sp macro="" textlink="">
          <xdr:nvSpPr>
            <xdr:cNvPr id="6151" name="CommandButton1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390525</xdr:colOff>
      <xdr:row>0</xdr:row>
      <xdr:rowOff>161926</xdr:rowOff>
    </xdr:from>
    <xdr:to>
      <xdr:col>1</xdr:col>
      <xdr:colOff>380999</xdr:colOff>
      <xdr:row>2</xdr:row>
      <xdr:rowOff>0</xdr:rowOff>
    </xdr:to>
    <xdr:sp macro="" textlink="">
      <xdr:nvSpPr>
        <xdr:cNvPr id="7" name="Rectangle 6"/>
        <xdr:cNvSpPr/>
      </xdr:nvSpPr>
      <xdr:spPr>
        <a:xfrm>
          <a:off x="390525" y="161926"/>
          <a:ext cx="1162049" cy="219074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sng">
              <a:solidFill>
                <a:schemeClr val="tx1"/>
              </a:solidFill>
            </a:rPr>
            <a:t>Select Month(s)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47625</xdr:rowOff>
    </xdr:from>
    <xdr:to>
      <xdr:col>2</xdr:col>
      <xdr:colOff>1314450</xdr:colOff>
      <xdr:row>5</xdr:row>
      <xdr:rowOff>133350</xdr:rowOff>
    </xdr:to>
    <xdr:sp macro="" textlink="">
      <xdr:nvSpPr>
        <xdr:cNvPr id="7" name="Rectangle 6"/>
        <xdr:cNvSpPr/>
      </xdr:nvSpPr>
      <xdr:spPr>
        <a:xfrm>
          <a:off x="152400" y="47625"/>
          <a:ext cx="3381375" cy="10382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>
          <a:solidFill>
            <a:schemeClr val="accent3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352425</xdr:colOff>
          <xdr:row>2</xdr:row>
          <xdr:rowOff>85725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1114425</xdr:colOff>
          <xdr:row>1</xdr:row>
          <xdr:rowOff>152400</xdr:rowOff>
        </xdr:from>
        <xdr:to>
          <xdr:col>2</xdr:col>
          <xdr:colOff>1190625</xdr:colOff>
          <xdr:row>3</xdr:row>
          <xdr:rowOff>114300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3</xdr:row>
          <xdr:rowOff>38100</xdr:rowOff>
        </xdr:from>
        <xdr:to>
          <xdr:col>1</xdr:col>
          <xdr:colOff>352425</xdr:colOff>
          <xdr:row>4</xdr:row>
          <xdr:rowOff>171450</xdr:rowOff>
        </xdr:to>
        <xdr:sp macro="" textlink="">
          <xdr:nvSpPr>
            <xdr:cNvPr id="11268" name="Edit_meeting_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yusha/AppData/Local/Microsoft/Windows/Temporary%20Internet%20Files/Content.Outlook/PVO7Z1TT/BFS_Tracker_v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Associate_tracker"/>
      <sheetName val="Skill_Tracker"/>
      <sheetName val="Leave_Tracker"/>
      <sheetName val="Controls"/>
      <sheetName val="Summary_Data"/>
    </sheetNames>
    <sheetDataSet>
      <sheetData sheetId="0"/>
      <sheetData sheetId="1"/>
      <sheetData sheetId="2"/>
      <sheetData sheetId="3"/>
      <sheetData sheetId="4">
        <row r="1">
          <cell r="D1" t="str">
            <v>Designations</v>
          </cell>
          <cell r="E1" t="str">
            <v>Current Project</v>
          </cell>
          <cell r="F1" t="str">
            <v>Manager</v>
          </cell>
        </row>
        <row r="2">
          <cell r="D2" t="str">
            <v>Analyst Trainee</v>
          </cell>
          <cell r="E2" t="str">
            <v>AAA</v>
          </cell>
          <cell r="F2" t="str">
            <v>Amanjeet Saluja</v>
          </cell>
        </row>
        <row r="3">
          <cell r="D3" t="str">
            <v>Analyst</v>
          </cell>
          <cell r="E3" t="str">
            <v>BSI</v>
          </cell>
          <cell r="F3" t="str">
            <v>Sandeep Gupta</v>
          </cell>
        </row>
        <row r="4">
          <cell r="D4" t="str">
            <v>Associate</v>
          </cell>
          <cell r="E4" t="str">
            <v>Product Development</v>
          </cell>
          <cell r="F4" t="str">
            <v>Gaurav Singh</v>
          </cell>
        </row>
        <row r="5">
          <cell r="D5" t="str">
            <v>Senior Associate</v>
          </cell>
          <cell r="E5" t="str">
            <v>Capability Development</v>
          </cell>
          <cell r="F5" t="str">
            <v>Kunal Chawla</v>
          </cell>
        </row>
        <row r="6">
          <cell r="D6" t="str">
            <v>Engagement Manager</v>
          </cell>
          <cell r="F6" t="str">
            <v>Arun Goyal</v>
          </cell>
        </row>
        <row r="7">
          <cell r="D7" t="str">
            <v>Sr. Engagement Manager</v>
          </cell>
          <cell r="F7" t="str">
            <v>Rajat Singhal</v>
          </cell>
        </row>
        <row r="8">
          <cell r="D8" t="str">
            <v>Associate Director</v>
          </cell>
          <cell r="F8" t="str">
            <v>Saksham Agarwal</v>
          </cell>
        </row>
        <row r="9">
          <cell r="D9" t="str">
            <v>Director</v>
          </cell>
        </row>
        <row r="10">
          <cell r="D10" t="str">
            <v>Associate Principal</v>
          </cell>
        </row>
        <row r="11">
          <cell r="D11" t="str">
            <v>Principal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image" Target="../media/image2.emf"/><Relationship Id="rId9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6.xml"/><Relationship Id="rId7" Type="http://schemas.openxmlformats.org/officeDocument/2006/relationships/control" Target="../activeX/activeX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"/>
  <sheetViews>
    <sheetView showGridLines="0" showRowColHeaders="0" tabSelected="1" workbookViewId="0"/>
  </sheetViews>
  <sheetFormatPr defaultRowHeight="15" x14ac:dyDescent="0.25"/>
  <cols>
    <col min="7" max="7" width="5.28515625" customWidth="1"/>
    <col min="8" max="8" width="5.140625" customWidth="1"/>
    <col min="9" max="9" width="28.28515625" customWidth="1"/>
    <col min="10" max="10" width="9.5703125" customWidth="1"/>
    <col min="11" max="11" width="10.85546875" customWidth="1"/>
    <col min="12" max="12" width="3.28515625" customWidth="1"/>
    <col min="13" max="13" width="2.42578125" customWidth="1"/>
    <col min="14" max="14" width="8.140625" customWidth="1"/>
  </cols>
  <sheetData/>
  <sheetProtection password="EFAC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11</xdr:col>
                    <xdr:colOff>38100</xdr:colOff>
                    <xdr:row>16</xdr:row>
                    <xdr:rowOff>171450</xdr:rowOff>
                  </from>
                  <to>
                    <xdr:col>14</xdr:col>
                    <xdr:colOff>142875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42"/>
  <sheetViews>
    <sheetView showGridLines="0" showRowColHeaders="0" workbookViewId="0"/>
  </sheetViews>
  <sheetFormatPr defaultRowHeight="15" x14ac:dyDescent="0.25"/>
  <cols>
    <col min="1" max="1" width="29.140625" customWidth="1"/>
    <col min="2" max="2" width="18" customWidth="1"/>
    <col min="3" max="3" width="26.85546875" bestFit="1" customWidth="1"/>
    <col min="4" max="4" width="8.28515625" style="51" hidden="1" customWidth="1"/>
    <col min="5" max="5" width="8.85546875" style="51" hidden="1" customWidth="1"/>
    <col min="6" max="6" width="9.85546875" hidden="1" customWidth="1"/>
    <col min="7" max="7" width="20.42578125" style="48" customWidth="1"/>
    <col min="8" max="9" width="8.7109375" style="51" hidden="1" customWidth="1"/>
    <col min="10" max="10" width="8.7109375" hidden="1" customWidth="1"/>
    <col min="11" max="11" width="18.140625" style="48" customWidth="1"/>
    <col min="12" max="12" width="20.28515625" bestFit="1" customWidth="1"/>
    <col min="13" max="13" width="21.7109375" bestFit="1" customWidth="1"/>
    <col min="14" max="14" width="13.5703125" bestFit="1" customWidth="1"/>
    <col min="15" max="15" width="16.7109375" bestFit="1" customWidth="1"/>
    <col min="16" max="16" width="10.85546875" customWidth="1"/>
    <col min="17" max="17" width="17.42578125" bestFit="1" customWidth="1"/>
  </cols>
  <sheetData>
    <row r="1" spans="1:17" x14ac:dyDescent="0.25">
      <c r="G1" s="51"/>
    </row>
    <row r="6" spans="1:17" s="48" customFormat="1" ht="15.75" x14ac:dyDescent="0.25">
      <c r="A6" s="2" t="s">
        <v>0</v>
      </c>
      <c r="B6" s="2" t="s">
        <v>1</v>
      </c>
      <c r="C6" s="2" t="s">
        <v>3</v>
      </c>
      <c r="D6" s="56" t="s">
        <v>7</v>
      </c>
      <c r="E6" s="56" t="s">
        <v>8</v>
      </c>
      <c r="F6" s="2" t="s">
        <v>9</v>
      </c>
      <c r="G6" s="2" t="s">
        <v>2</v>
      </c>
      <c r="H6" s="2" t="s">
        <v>7</v>
      </c>
      <c r="I6" s="2" t="s">
        <v>8</v>
      </c>
      <c r="J6" s="2" t="s">
        <v>9</v>
      </c>
      <c r="K6" s="2" t="s">
        <v>43</v>
      </c>
      <c r="L6" s="2" t="s">
        <v>4</v>
      </c>
      <c r="M6" s="2" t="s">
        <v>5</v>
      </c>
      <c r="N6" s="2" t="s">
        <v>94</v>
      </c>
      <c r="O6" s="2" t="s">
        <v>95</v>
      </c>
      <c r="P6" s="2" t="s">
        <v>97</v>
      </c>
      <c r="Q6" s="2" t="s">
        <v>96</v>
      </c>
    </row>
    <row r="7" spans="1:17" x14ac:dyDescent="0.25">
      <c r="A7" s="57" t="s">
        <v>148</v>
      </c>
      <c r="B7" s="57" t="s">
        <v>161</v>
      </c>
      <c r="C7" s="57" t="s">
        <v>25</v>
      </c>
      <c r="D7" s="57">
        <v>13</v>
      </c>
      <c r="E7" s="57">
        <v>11</v>
      </c>
      <c r="F7" s="57">
        <v>2013</v>
      </c>
      <c r="G7" s="50">
        <f>IFERROR(DATE(F7,E7,D7),"")</f>
        <v>41591</v>
      </c>
      <c r="H7" s="57">
        <v>13</v>
      </c>
      <c r="I7" s="57">
        <v>11</v>
      </c>
      <c r="J7" s="57">
        <v>2013</v>
      </c>
      <c r="K7" s="50">
        <f>IFERROR(DATE(J7,I7,H7),"")</f>
        <v>41591</v>
      </c>
      <c r="L7" s="57" t="s">
        <v>181</v>
      </c>
      <c r="M7" s="57" t="s">
        <v>187</v>
      </c>
      <c r="N7" s="57" t="s">
        <v>188</v>
      </c>
      <c r="O7" s="57" t="s">
        <v>199</v>
      </c>
      <c r="P7" s="57" t="s">
        <v>203</v>
      </c>
      <c r="Q7" s="57">
        <v>7</v>
      </c>
    </row>
    <row r="8" spans="1:17" x14ac:dyDescent="0.25">
      <c r="A8" s="66" t="s">
        <v>149</v>
      </c>
      <c r="B8" s="66" t="s">
        <v>162</v>
      </c>
      <c r="C8" s="66" t="s">
        <v>24</v>
      </c>
      <c r="D8" s="66">
        <v>18</v>
      </c>
      <c r="E8" s="66">
        <v>4</v>
      </c>
      <c r="F8" s="66">
        <v>2014</v>
      </c>
      <c r="G8" s="67">
        <f t="shared" ref="G8:G42" si="0">IFERROR(DATE(F8,E8,D8),"")</f>
        <v>41747</v>
      </c>
      <c r="H8" s="66">
        <v>18</v>
      </c>
      <c r="I8" s="66">
        <v>4</v>
      </c>
      <c r="J8" s="66">
        <v>2014</v>
      </c>
      <c r="K8" s="67">
        <f t="shared" ref="K8:K42" si="1">IFERROR(DATE(J8,I8,H8),"")</f>
        <v>41747</v>
      </c>
      <c r="L8" s="66" t="s">
        <v>158</v>
      </c>
      <c r="M8" s="66" t="s">
        <v>32</v>
      </c>
      <c r="N8" s="66"/>
      <c r="O8" s="66"/>
      <c r="P8" s="66"/>
      <c r="Q8" s="66">
        <v>2</v>
      </c>
    </row>
    <row r="9" spans="1:17" x14ac:dyDescent="0.25">
      <c r="A9" s="57" t="s">
        <v>150</v>
      </c>
      <c r="B9" s="57" t="s">
        <v>163</v>
      </c>
      <c r="C9" s="57" t="s">
        <v>25</v>
      </c>
      <c r="D9" s="57">
        <v>12</v>
      </c>
      <c r="E9" s="57">
        <v>2</v>
      </c>
      <c r="F9" s="57">
        <v>2014</v>
      </c>
      <c r="G9" s="50">
        <f t="shared" si="0"/>
        <v>41682</v>
      </c>
      <c r="H9" s="57">
        <v>12</v>
      </c>
      <c r="I9" s="57">
        <v>2</v>
      </c>
      <c r="J9" s="57">
        <v>2014</v>
      </c>
      <c r="K9" s="50">
        <f t="shared" si="1"/>
        <v>41682</v>
      </c>
      <c r="L9" s="57" t="s">
        <v>158</v>
      </c>
      <c r="M9" s="57" t="s">
        <v>32</v>
      </c>
      <c r="N9" s="57" t="s">
        <v>189</v>
      </c>
      <c r="O9" s="57" t="s">
        <v>200</v>
      </c>
      <c r="P9" s="57" t="s">
        <v>204</v>
      </c>
      <c r="Q9" s="57">
        <v>4.5</v>
      </c>
    </row>
    <row r="10" spans="1:17" x14ac:dyDescent="0.25">
      <c r="A10" s="57" t="s">
        <v>40</v>
      </c>
      <c r="B10" s="57" t="s">
        <v>164</v>
      </c>
      <c r="C10" s="57" t="s">
        <v>26</v>
      </c>
      <c r="D10" s="57">
        <v>22</v>
      </c>
      <c r="E10" s="57">
        <v>1</v>
      </c>
      <c r="F10" s="57">
        <v>2014</v>
      </c>
      <c r="G10" s="50">
        <f t="shared" si="0"/>
        <v>41661</v>
      </c>
      <c r="H10" s="57">
        <v>22</v>
      </c>
      <c r="I10" s="57">
        <v>1</v>
      </c>
      <c r="J10" s="57">
        <v>2014</v>
      </c>
      <c r="K10" s="50">
        <f t="shared" si="1"/>
        <v>41661</v>
      </c>
      <c r="L10" s="57" t="s">
        <v>36</v>
      </c>
      <c r="M10" s="57" t="s">
        <v>34</v>
      </c>
      <c r="N10" s="57"/>
      <c r="O10" s="57" t="s">
        <v>200</v>
      </c>
      <c r="P10" s="57" t="s">
        <v>204</v>
      </c>
      <c r="Q10" s="57">
        <v>6</v>
      </c>
    </row>
    <row r="11" spans="1:17" x14ac:dyDescent="0.25">
      <c r="A11" s="57" t="s">
        <v>106</v>
      </c>
      <c r="B11" s="57" t="s">
        <v>107</v>
      </c>
      <c r="C11" s="57" t="s">
        <v>23</v>
      </c>
      <c r="D11" s="57">
        <v>2</v>
      </c>
      <c r="E11" s="57">
        <v>6</v>
      </c>
      <c r="F11" s="57">
        <v>2014</v>
      </c>
      <c r="G11" s="50">
        <f t="shared" si="0"/>
        <v>41792</v>
      </c>
      <c r="H11" s="57">
        <v>25</v>
      </c>
      <c r="I11" s="57">
        <v>6</v>
      </c>
      <c r="J11" s="57">
        <v>2014</v>
      </c>
      <c r="K11" s="50">
        <f t="shared" si="1"/>
        <v>41815</v>
      </c>
      <c r="L11" s="57" t="s">
        <v>36</v>
      </c>
      <c r="M11" s="57" t="s">
        <v>184</v>
      </c>
      <c r="N11" s="57" t="s">
        <v>190</v>
      </c>
      <c r="O11" s="57" t="s">
        <v>105</v>
      </c>
      <c r="P11" s="57" t="s">
        <v>135</v>
      </c>
      <c r="Q11" s="57">
        <v>0</v>
      </c>
    </row>
    <row r="12" spans="1:17" x14ac:dyDescent="0.25">
      <c r="A12" s="57" t="s">
        <v>151</v>
      </c>
      <c r="B12" s="57" t="s">
        <v>165</v>
      </c>
      <c r="C12" s="57" t="s">
        <v>180</v>
      </c>
      <c r="D12" s="57">
        <v>25</v>
      </c>
      <c r="E12" s="57">
        <v>6</v>
      </c>
      <c r="F12" s="57">
        <v>2014</v>
      </c>
      <c r="G12" s="50">
        <f t="shared" si="0"/>
        <v>41815</v>
      </c>
      <c r="H12" s="57">
        <v>25</v>
      </c>
      <c r="I12" s="57">
        <v>6</v>
      </c>
      <c r="J12" s="57">
        <v>2014</v>
      </c>
      <c r="K12" s="50">
        <f t="shared" si="1"/>
        <v>41815</v>
      </c>
      <c r="L12" s="57" t="s">
        <v>36</v>
      </c>
      <c r="M12" s="57" t="s">
        <v>32</v>
      </c>
      <c r="N12" s="57" t="s">
        <v>191</v>
      </c>
      <c r="O12" s="57" t="s">
        <v>199</v>
      </c>
      <c r="P12" s="57" t="s">
        <v>204</v>
      </c>
      <c r="Q12" s="57">
        <v>10.3</v>
      </c>
    </row>
    <row r="13" spans="1:17" x14ac:dyDescent="0.25">
      <c r="A13" s="57" t="s">
        <v>38</v>
      </c>
      <c r="B13" s="57" t="s">
        <v>166</v>
      </c>
      <c r="C13" s="57" t="s">
        <v>180</v>
      </c>
      <c r="D13" s="57">
        <v>24</v>
      </c>
      <c r="E13" s="57">
        <v>1</v>
      </c>
      <c r="F13" s="57">
        <v>2012</v>
      </c>
      <c r="G13" s="50">
        <f t="shared" si="0"/>
        <v>40932</v>
      </c>
      <c r="H13" s="57">
        <v>27</v>
      </c>
      <c r="I13" s="57">
        <v>1</v>
      </c>
      <c r="J13" s="57">
        <v>2014</v>
      </c>
      <c r="K13" s="50">
        <f t="shared" si="1"/>
        <v>41666</v>
      </c>
      <c r="L13" s="57" t="s">
        <v>36</v>
      </c>
      <c r="M13" s="57" t="s">
        <v>185</v>
      </c>
      <c r="N13" s="57"/>
      <c r="O13" s="57"/>
      <c r="P13" s="57"/>
      <c r="Q13" s="57">
        <v>8</v>
      </c>
    </row>
    <row r="14" spans="1:17" x14ac:dyDescent="0.25">
      <c r="A14" s="57" t="s">
        <v>39</v>
      </c>
      <c r="B14" s="57" t="s">
        <v>167</v>
      </c>
      <c r="C14" s="57" t="s">
        <v>180</v>
      </c>
      <c r="D14" s="57">
        <v>26</v>
      </c>
      <c r="E14" s="57">
        <v>5</v>
      </c>
      <c r="F14" s="57">
        <v>2014</v>
      </c>
      <c r="G14" s="50">
        <f t="shared" si="0"/>
        <v>41785</v>
      </c>
      <c r="H14" s="57">
        <v>26</v>
      </c>
      <c r="I14" s="57">
        <v>5</v>
      </c>
      <c r="J14" s="57">
        <v>2014</v>
      </c>
      <c r="K14" s="50">
        <f t="shared" si="1"/>
        <v>41785</v>
      </c>
      <c r="L14" s="57" t="s">
        <v>37</v>
      </c>
      <c r="M14" s="57" t="s">
        <v>184</v>
      </c>
      <c r="N14" s="57" t="s">
        <v>192</v>
      </c>
      <c r="O14" s="57" t="s">
        <v>104</v>
      </c>
      <c r="P14" s="57" t="s">
        <v>203</v>
      </c>
      <c r="Q14" s="57">
        <v>8</v>
      </c>
    </row>
    <row r="15" spans="1:17" x14ac:dyDescent="0.25">
      <c r="A15" s="57" t="s">
        <v>152</v>
      </c>
      <c r="B15" s="57" t="s">
        <v>168</v>
      </c>
      <c r="C15" s="57" t="s">
        <v>24</v>
      </c>
      <c r="D15" s="57">
        <v>10</v>
      </c>
      <c r="E15" s="57">
        <v>3</v>
      </c>
      <c r="F15" s="57">
        <v>2014</v>
      </c>
      <c r="G15" s="50">
        <f>IFERROR(DATE(F15,E15,D15),"")</f>
        <v>41708</v>
      </c>
      <c r="H15" s="57">
        <v>10</v>
      </c>
      <c r="I15" s="57">
        <v>3</v>
      </c>
      <c r="J15" s="57">
        <v>2014</v>
      </c>
      <c r="K15" s="50">
        <f t="shared" si="1"/>
        <v>41708</v>
      </c>
      <c r="L15" s="57" t="s">
        <v>39</v>
      </c>
      <c r="M15" s="57" t="s">
        <v>184</v>
      </c>
      <c r="N15" s="57"/>
      <c r="O15" s="57" t="s">
        <v>105</v>
      </c>
      <c r="P15" s="57" t="s">
        <v>135</v>
      </c>
      <c r="Q15" s="57">
        <v>2</v>
      </c>
    </row>
    <row r="16" spans="1:17" x14ac:dyDescent="0.25">
      <c r="A16" s="57" t="s">
        <v>153</v>
      </c>
      <c r="B16" s="57" t="s">
        <v>169</v>
      </c>
      <c r="C16" s="57" t="s">
        <v>23</v>
      </c>
      <c r="D16" s="57">
        <v>29</v>
      </c>
      <c r="E16" s="57">
        <v>7</v>
      </c>
      <c r="F16" s="57">
        <v>2013</v>
      </c>
      <c r="G16" s="50">
        <f t="shared" si="0"/>
        <v>41484</v>
      </c>
      <c r="H16" s="57">
        <v>29</v>
      </c>
      <c r="I16" s="57">
        <v>8</v>
      </c>
      <c r="J16" s="57">
        <v>2013</v>
      </c>
      <c r="K16" s="50">
        <f t="shared" si="1"/>
        <v>41515</v>
      </c>
      <c r="L16" s="57" t="s">
        <v>158</v>
      </c>
      <c r="M16" s="57" t="s">
        <v>32</v>
      </c>
      <c r="N16" s="57"/>
      <c r="O16" s="57"/>
      <c r="P16" s="57" t="s">
        <v>204</v>
      </c>
      <c r="Q16" s="57">
        <v>1</v>
      </c>
    </row>
    <row r="17" spans="1:17" x14ac:dyDescent="0.25">
      <c r="A17" s="57" t="s">
        <v>154</v>
      </c>
      <c r="B17" s="57" t="s">
        <v>170</v>
      </c>
      <c r="C17" s="57" t="s">
        <v>23</v>
      </c>
      <c r="D17" s="57">
        <v>2</v>
      </c>
      <c r="E17" s="57">
        <v>6</v>
      </c>
      <c r="F17" s="57">
        <v>2014</v>
      </c>
      <c r="G17" s="50">
        <f t="shared" si="0"/>
        <v>41792</v>
      </c>
      <c r="H17" s="57">
        <v>25</v>
      </c>
      <c r="I17" s="57">
        <v>6</v>
      </c>
      <c r="J17" s="57">
        <v>2014</v>
      </c>
      <c r="K17" s="50">
        <f t="shared" si="1"/>
        <v>41815</v>
      </c>
      <c r="L17" s="57" t="s">
        <v>36</v>
      </c>
      <c r="M17" s="57" t="s">
        <v>32</v>
      </c>
      <c r="N17" s="57" t="s">
        <v>135</v>
      </c>
      <c r="O17" s="57" t="s">
        <v>105</v>
      </c>
      <c r="P17" s="57" t="s">
        <v>135</v>
      </c>
      <c r="Q17" s="64">
        <v>0</v>
      </c>
    </row>
    <row r="18" spans="1:17" x14ac:dyDescent="0.25">
      <c r="A18" s="57" t="s">
        <v>145</v>
      </c>
      <c r="B18" s="57" t="s">
        <v>146</v>
      </c>
      <c r="C18" s="57" t="s">
        <v>23</v>
      </c>
      <c r="D18" s="57">
        <v>1</v>
      </c>
      <c r="E18" s="57">
        <v>10</v>
      </c>
      <c r="F18" s="57">
        <v>2013</v>
      </c>
      <c r="G18" s="50">
        <f t="shared" si="0"/>
        <v>41548</v>
      </c>
      <c r="H18" s="57">
        <v>3</v>
      </c>
      <c r="I18" s="57">
        <v>2</v>
      </c>
      <c r="J18" s="57">
        <v>2014</v>
      </c>
      <c r="K18" s="50">
        <f t="shared" si="1"/>
        <v>41673</v>
      </c>
      <c r="L18" s="57" t="s">
        <v>39</v>
      </c>
      <c r="M18" s="57" t="s">
        <v>184</v>
      </c>
      <c r="N18" s="57" t="s">
        <v>193</v>
      </c>
      <c r="O18" s="57" t="s">
        <v>105</v>
      </c>
      <c r="P18" s="57" t="s">
        <v>135</v>
      </c>
      <c r="Q18" s="57">
        <v>1</v>
      </c>
    </row>
    <row r="19" spans="1:17" x14ac:dyDescent="0.25">
      <c r="A19" s="57" t="s">
        <v>136</v>
      </c>
      <c r="B19" s="57" t="s">
        <v>133</v>
      </c>
      <c r="C19" s="57" t="s">
        <v>23</v>
      </c>
      <c r="D19" s="57">
        <v>29</v>
      </c>
      <c r="E19" s="57">
        <v>7</v>
      </c>
      <c r="F19" s="57">
        <v>2013</v>
      </c>
      <c r="G19" s="50">
        <f t="shared" si="0"/>
        <v>41484</v>
      </c>
      <c r="H19" s="57">
        <v>12</v>
      </c>
      <c r="I19" s="57">
        <v>2</v>
      </c>
      <c r="J19" s="57">
        <v>2014</v>
      </c>
      <c r="K19" s="50">
        <f t="shared" si="1"/>
        <v>41682</v>
      </c>
      <c r="L19" s="57" t="s">
        <v>38</v>
      </c>
      <c r="M19" s="57" t="s">
        <v>34</v>
      </c>
      <c r="N19" s="57" t="s">
        <v>135</v>
      </c>
      <c r="O19" s="57" t="s">
        <v>105</v>
      </c>
      <c r="P19" s="57" t="s">
        <v>135</v>
      </c>
      <c r="Q19" s="57">
        <v>1</v>
      </c>
    </row>
    <row r="20" spans="1:17" x14ac:dyDescent="0.25">
      <c r="A20" s="57" t="s">
        <v>155</v>
      </c>
      <c r="B20" s="57" t="s">
        <v>171</v>
      </c>
      <c r="C20" s="57" t="s">
        <v>24</v>
      </c>
      <c r="D20" s="57">
        <v>12</v>
      </c>
      <c r="E20" s="57">
        <v>4</v>
      </c>
      <c r="F20" s="57">
        <v>2013</v>
      </c>
      <c r="G20" s="50">
        <f t="shared" si="0"/>
        <v>41376</v>
      </c>
      <c r="H20" s="57">
        <v>12</v>
      </c>
      <c r="I20" s="57">
        <v>4</v>
      </c>
      <c r="J20" s="57">
        <v>2013</v>
      </c>
      <c r="K20" s="50">
        <f t="shared" si="1"/>
        <v>41376</v>
      </c>
      <c r="L20" s="57" t="s">
        <v>158</v>
      </c>
      <c r="M20" s="57" t="s">
        <v>185</v>
      </c>
      <c r="N20" s="57"/>
      <c r="O20" s="57"/>
      <c r="P20" s="57"/>
      <c r="Q20" s="57">
        <v>2</v>
      </c>
    </row>
    <row r="21" spans="1:17" x14ac:dyDescent="0.25">
      <c r="A21" s="57" t="s">
        <v>41</v>
      </c>
      <c r="B21" s="57" t="s">
        <v>172</v>
      </c>
      <c r="C21" s="57" t="s">
        <v>26</v>
      </c>
      <c r="D21" s="57">
        <v>23</v>
      </c>
      <c r="E21" s="57">
        <v>6</v>
      </c>
      <c r="F21" s="57">
        <v>2014</v>
      </c>
      <c r="G21" s="50">
        <f t="shared" si="0"/>
        <v>41813</v>
      </c>
      <c r="H21" s="57">
        <v>23</v>
      </c>
      <c r="I21" s="57">
        <v>6</v>
      </c>
      <c r="J21" s="57">
        <v>2014</v>
      </c>
      <c r="K21" s="50">
        <f t="shared" si="1"/>
        <v>41813</v>
      </c>
      <c r="L21" s="57" t="s">
        <v>38</v>
      </c>
      <c r="M21" s="57" t="s">
        <v>185</v>
      </c>
      <c r="N21" s="57"/>
      <c r="O21" s="57"/>
      <c r="P21" s="57"/>
      <c r="Q21" s="57">
        <v>5</v>
      </c>
    </row>
    <row r="22" spans="1:17" x14ac:dyDescent="0.25">
      <c r="A22" s="57" t="s">
        <v>156</v>
      </c>
      <c r="B22" s="57" t="s">
        <v>173</v>
      </c>
      <c r="C22" s="57" t="s">
        <v>25</v>
      </c>
      <c r="D22" s="57">
        <v>21</v>
      </c>
      <c r="E22" s="57">
        <v>5</v>
      </c>
      <c r="F22" s="57">
        <v>2014</v>
      </c>
      <c r="G22" s="50">
        <f t="shared" si="0"/>
        <v>41780</v>
      </c>
      <c r="H22" s="57">
        <v>21</v>
      </c>
      <c r="I22" s="57">
        <v>5</v>
      </c>
      <c r="J22" s="57">
        <v>2014</v>
      </c>
      <c r="K22" s="50">
        <f t="shared" si="1"/>
        <v>41780</v>
      </c>
      <c r="L22" s="57" t="s">
        <v>39</v>
      </c>
      <c r="M22" s="57" t="s">
        <v>184</v>
      </c>
      <c r="N22" s="57" t="s">
        <v>194</v>
      </c>
      <c r="O22" s="57" t="s">
        <v>201</v>
      </c>
      <c r="P22" s="57" t="s">
        <v>204</v>
      </c>
      <c r="Q22" s="57">
        <v>6</v>
      </c>
    </row>
    <row r="23" spans="1:17" x14ac:dyDescent="0.25">
      <c r="A23" s="57" t="s">
        <v>157</v>
      </c>
      <c r="B23" s="57" t="s">
        <v>174</v>
      </c>
      <c r="C23" s="57" t="s">
        <v>24</v>
      </c>
      <c r="D23" s="57">
        <v>10</v>
      </c>
      <c r="E23" s="57">
        <v>6</v>
      </c>
      <c r="F23" s="57">
        <v>2014</v>
      </c>
      <c r="G23" s="50">
        <f t="shared" si="0"/>
        <v>41800</v>
      </c>
      <c r="H23" s="57">
        <v>10</v>
      </c>
      <c r="I23" s="57">
        <v>6</v>
      </c>
      <c r="J23" s="57">
        <v>2014</v>
      </c>
      <c r="K23" s="50">
        <f t="shared" si="1"/>
        <v>41800</v>
      </c>
      <c r="L23" s="57" t="s">
        <v>38</v>
      </c>
      <c r="M23" s="57" t="s">
        <v>185</v>
      </c>
      <c r="N23" s="57"/>
      <c r="O23" s="57"/>
      <c r="P23" s="57"/>
      <c r="Q23" s="57">
        <v>2</v>
      </c>
    </row>
    <row r="24" spans="1:17" x14ac:dyDescent="0.25">
      <c r="A24" s="57" t="s">
        <v>158</v>
      </c>
      <c r="B24" s="57" t="s">
        <v>175</v>
      </c>
      <c r="C24" s="57" t="s">
        <v>180</v>
      </c>
      <c r="D24" s="57">
        <v>7</v>
      </c>
      <c r="E24" s="57">
        <v>7</v>
      </c>
      <c r="F24" s="57">
        <v>2014</v>
      </c>
      <c r="G24" s="50">
        <f t="shared" si="0"/>
        <v>41827</v>
      </c>
      <c r="H24" s="57">
        <v>7</v>
      </c>
      <c r="I24" s="57">
        <v>7</v>
      </c>
      <c r="J24" s="57">
        <v>2014</v>
      </c>
      <c r="K24" s="50">
        <f t="shared" si="1"/>
        <v>41827</v>
      </c>
      <c r="L24" s="57" t="s">
        <v>36</v>
      </c>
      <c r="M24" s="57" t="s">
        <v>32</v>
      </c>
      <c r="N24" s="57"/>
      <c r="O24" s="57" t="s">
        <v>202</v>
      </c>
      <c r="P24" s="57" t="s">
        <v>205</v>
      </c>
      <c r="Q24" s="57">
        <v>8</v>
      </c>
    </row>
    <row r="25" spans="1:17" x14ac:dyDescent="0.25">
      <c r="A25" s="57" t="s">
        <v>36</v>
      </c>
      <c r="B25" s="57" t="s">
        <v>176</v>
      </c>
      <c r="C25" s="57" t="s">
        <v>29</v>
      </c>
      <c r="D25" s="57">
        <v>8</v>
      </c>
      <c r="E25" s="57">
        <v>7</v>
      </c>
      <c r="F25" s="57">
        <v>2013</v>
      </c>
      <c r="G25" s="50">
        <f t="shared" si="0"/>
        <v>41463</v>
      </c>
      <c r="H25" s="57">
        <v>8</v>
      </c>
      <c r="I25" s="57">
        <v>7</v>
      </c>
      <c r="J25" s="57">
        <v>2013</v>
      </c>
      <c r="K25" s="50">
        <f t="shared" si="1"/>
        <v>41463</v>
      </c>
      <c r="L25" s="57" t="s">
        <v>37</v>
      </c>
      <c r="M25" s="57" t="s">
        <v>186</v>
      </c>
      <c r="N25" s="57" t="s">
        <v>195</v>
      </c>
      <c r="O25" s="57" t="s">
        <v>199</v>
      </c>
      <c r="P25" s="57" t="s">
        <v>204</v>
      </c>
      <c r="Q25" s="57">
        <v>7</v>
      </c>
    </row>
    <row r="26" spans="1:17" x14ac:dyDescent="0.25">
      <c r="A26" s="57" t="s">
        <v>159</v>
      </c>
      <c r="B26" s="57" t="s">
        <v>177</v>
      </c>
      <c r="C26" s="57" t="s">
        <v>25</v>
      </c>
      <c r="D26" s="57">
        <v>28</v>
      </c>
      <c r="E26" s="57">
        <v>5</v>
      </c>
      <c r="F26" s="57">
        <v>2012</v>
      </c>
      <c r="G26" s="50">
        <f t="shared" si="0"/>
        <v>41057</v>
      </c>
      <c r="H26" s="57">
        <v>1</v>
      </c>
      <c r="I26" s="57">
        <v>4</v>
      </c>
      <c r="J26" s="57">
        <v>2014</v>
      </c>
      <c r="K26" s="50">
        <f t="shared" si="1"/>
        <v>41730</v>
      </c>
      <c r="L26" s="57" t="s">
        <v>38</v>
      </c>
      <c r="M26" s="57" t="s">
        <v>185</v>
      </c>
      <c r="N26" s="57" t="s">
        <v>196</v>
      </c>
      <c r="O26" s="57" t="s">
        <v>105</v>
      </c>
      <c r="P26" s="57" t="s">
        <v>135</v>
      </c>
      <c r="Q26" s="57">
        <v>5.5</v>
      </c>
    </row>
    <row r="27" spans="1:17" x14ac:dyDescent="0.25">
      <c r="A27" s="57" t="s">
        <v>160</v>
      </c>
      <c r="B27" s="57" t="s">
        <v>178</v>
      </c>
      <c r="C27" s="57" t="s">
        <v>23</v>
      </c>
      <c r="D27" s="57">
        <v>7</v>
      </c>
      <c r="E27" s="57">
        <v>7</v>
      </c>
      <c r="F27" s="57">
        <v>2014</v>
      </c>
      <c r="G27" s="50">
        <f t="shared" si="0"/>
        <v>41827</v>
      </c>
      <c r="H27" s="57">
        <v>9</v>
      </c>
      <c r="I27" s="57">
        <v>7</v>
      </c>
      <c r="J27" s="57">
        <v>2014</v>
      </c>
      <c r="K27" s="50">
        <f t="shared" si="1"/>
        <v>41829</v>
      </c>
      <c r="L27" s="57" t="s">
        <v>39</v>
      </c>
      <c r="M27" s="57" t="s">
        <v>184</v>
      </c>
      <c r="N27" s="57" t="s">
        <v>197</v>
      </c>
      <c r="O27" s="57" t="s">
        <v>105</v>
      </c>
      <c r="P27" s="57" t="s">
        <v>135</v>
      </c>
      <c r="Q27" s="57">
        <v>1</v>
      </c>
    </row>
    <row r="28" spans="1:17" x14ac:dyDescent="0.25">
      <c r="A28" s="57" t="s">
        <v>37</v>
      </c>
      <c r="B28" s="57" t="s">
        <v>179</v>
      </c>
      <c r="C28" s="57" t="s">
        <v>31</v>
      </c>
      <c r="D28" s="57">
        <v>11</v>
      </c>
      <c r="E28" s="57">
        <v>3</v>
      </c>
      <c r="F28" s="57">
        <v>2013</v>
      </c>
      <c r="G28" s="50">
        <f t="shared" si="0"/>
        <v>41344</v>
      </c>
      <c r="H28" s="57">
        <v>11</v>
      </c>
      <c r="I28" s="57">
        <v>3</v>
      </c>
      <c r="J28" s="57">
        <v>2013</v>
      </c>
      <c r="K28" s="50">
        <f t="shared" si="1"/>
        <v>41344</v>
      </c>
      <c r="L28" s="57" t="s">
        <v>182</v>
      </c>
      <c r="M28" s="57" t="s">
        <v>186</v>
      </c>
      <c r="N28" s="57" t="s">
        <v>198</v>
      </c>
      <c r="O28" s="57" t="s">
        <v>200</v>
      </c>
      <c r="P28" s="57" t="s">
        <v>204</v>
      </c>
      <c r="Q28" s="57">
        <v>15</v>
      </c>
    </row>
    <row r="29" spans="1:17" x14ac:dyDescent="0.25">
      <c r="A29" s="57"/>
      <c r="B29" s="57"/>
      <c r="C29" s="57"/>
      <c r="D29" s="65"/>
      <c r="E29" s="65"/>
      <c r="F29" s="57"/>
      <c r="G29" s="50" t="str">
        <f t="shared" si="0"/>
        <v/>
      </c>
      <c r="H29" s="65"/>
      <c r="I29" s="65"/>
      <c r="J29" s="57"/>
      <c r="K29" s="50" t="str">
        <f t="shared" si="1"/>
        <v/>
      </c>
      <c r="L29" s="57"/>
      <c r="M29" s="57"/>
      <c r="N29" s="57"/>
      <c r="O29" s="57"/>
      <c r="P29" s="57"/>
      <c r="Q29" s="57"/>
    </row>
    <row r="30" spans="1:17" x14ac:dyDescent="0.25">
      <c r="A30" s="57"/>
      <c r="B30" s="57"/>
      <c r="C30" s="57"/>
      <c r="D30" s="65"/>
      <c r="E30" s="65"/>
      <c r="F30" s="57"/>
      <c r="G30" s="50" t="str">
        <f t="shared" si="0"/>
        <v/>
      </c>
      <c r="H30" s="65"/>
      <c r="I30" s="65"/>
      <c r="J30" s="57"/>
      <c r="K30" s="50" t="str">
        <f t="shared" si="1"/>
        <v/>
      </c>
      <c r="L30" s="57"/>
      <c r="M30" s="57"/>
      <c r="N30" s="57"/>
      <c r="O30" s="57"/>
      <c r="P30" s="57"/>
      <c r="Q30" s="57"/>
    </row>
    <row r="31" spans="1:17" x14ac:dyDescent="0.25">
      <c r="A31" s="57"/>
      <c r="B31" s="57"/>
      <c r="C31" s="57"/>
      <c r="D31" s="65"/>
      <c r="E31" s="65"/>
      <c r="F31" s="57"/>
      <c r="G31" s="50" t="str">
        <f t="shared" si="0"/>
        <v/>
      </c>
      <c r="H31" s="65"/>
      <c r="I31" s="65"/>
      <c r="J31" s="57"/>
      <c r="K31" s="50" t="str">
        <f t="shared" si="1"/>
        <v/>
      </c>
      <c r="L31" s="57"/>
      <c r="M31" s="57"/>
      <c r="N31" s="57"/>
      <c r="O31" s="57"/>
      <c r="P31" s="57"/>
      <c r="Q31" s="57"/>
    </row>
    <row r="32" spans="1:17" x14ac:dyDescent="0.25">
      <c r="A32" s="57"/>
      <c r="B32" s="57"/>
      <c r="C32" s="57"/>
      <c r="D32" s="65"/>
      <c r="E32" s="65"/>
      <c r="F32" s="57"/>
      <c r="G32" s="50" t="str">
        <f t="shared" si="0"/>
        <v/>
      </c>
      <c r="H32" s="65"/>
      <c r="I32" s="65"/>
      <c r="J32" s="57"/>
      <c r="K32" s="50" t="str">
        <f t="shared" si="1"/>
        <v/>
      </c>
      <c r="L32" s="57"/>
      <c r="M32" s="57"/>
      <c r="N32" s="57"/>
      <c r="O32" s="57"/>
      <c r="P32" s="57"/>
      <c r="Q32" s="57"/>
    </row>
    <row r="33" spans="1:17" x14ac:dyDescent="0.25">
      <c r="A33" s="57"/>
      <c r="B33" s="57"/>
      <c r="C33" s="57"/>
      <c r="D33" s="65"/>
      <c r="E33" s="65"/>
      <c r="F33" s="57"/>
      <c r="G33" s="50" t="str">
        <f t="shared" si="0"/>
        <v/>
      </c>
      <c r="H33" s="65"/>
      <c r="I33" s="65"/>
      <c r="J33" s="57"/>
      <c r="K33" s="50" t="str">
        <f t="shared" si="1"/>
        <v/>
      </c>
      <c r="L33" s="57"/>
      <c r="M33" s="57"/>
      <c r="N33" s="57"/>
      <c r="O33" s="57"/>
      <c r="P33" s="57"/>
      <c r="Q33" s="57"/>
    </row>
    <row r="34" spans="1:17" x14ac:dyDescent="0.25">
      <c r="A34" s="57"/>
      <c r="B34" s="57"/>
      <c r="C34" s="57"/>
      <c r="D34" s="65"/>
      <c r="E34" s="65"/>
      <c r="F34" s="57"/>
      <c r="G34" s="50" t="str">
        <f t="shared" si="0"/>
        <v/>
      </c>
      <c r="H34" s="65"/>
      <c r="I34" s="65"/>
      <c r="J34" s="57"/>
      <c r="K34" s="50" t="str">
        <f t="shared" si="1"/>
        <v/>
      </c>
      <c r="L34" s="57"/>
      <c r="M34" s="57"/>
      <c r="N34" s="57"/>
      <c r="O34" s="57"/>
      <c r="P34" s="57"/>
      <c r="Q34" s="57"/>
    </row>
    <row r="35" spans="1:17" x14ac:dyDescent="0.25">
      <c r="A35" s="57"/>
      <c r="B35" s="57"/>
      <c r="C35" s="57"/>
      <c r="D35" s="65"/>
      <c r="E35" s="65"/>
      <c r="F35" s="57"/>
      <c r="G35" s="50" t="str">
        <f t="shared" si="0"/>
        <v/>
      </c>
      <c r="H35" s="65"/>
      <c r="I35" s="65"/>
      <c r="J35" s="57"/>
      <c r="K35" s="50" t="str">
        <f t="shared" si="1"/>
        <v/>
      </c>
      <c r="L35" s="57"/>
      <c r="M35" s="57"/>
      <c r="N35" s="57"/>
      <c r="O35" s="57"/>
      <c r="P35" s="57"/>
      <c r="Q35" s="57"/>
    </row>
    <row r="36" spans="1:17" x14ac:dyDescent="0.25">
      <c r="A36" s="57"/>
      <c r="B36" s="57"/>
      <c r="C36" s="57"/>
      <c r="D36" s="65"/>
      <c r="E36" s="65"/>
      <c r="F36" s="57"/>
      <c r="G36" s="50" t="str">
        <f t="shared" si="0"/>
        <v/>
      </c>
      <c r="H36" s="65"/>
      <c r="I36" s="65"/>
      <c r="J36" s="57"/>
      <c r="K36" s="50" t="str">
        <f t="shared" si="1"/>
        <v/>
      </c>
      <c r="L36" s="57"/>
      <c r="M36" s="57"/>
      <c r="N36" s="57"/>
      <c r="O36" s="57"/>
      <c r="P36" s="57"/>
      <c r="Q36" s="57"/>
    </row>
    <row r="37" spans="1:17" x14ac:dyDescent="0.25">
      <c r="A37" s="57"/>
      <c r="B37" s="57"/>
      <c r="C37" s="57"/>
      <c r="D37" s="65"/>
      <c r="E37" s="65"/>
      <c r="F37" s="57"/>
      <c r="G37" s="50" t="str">
        <f t="shared" si="0"/>
        <v/>
      </c>
      <c r="H37" s="65"/>
      <c r="I37" s="65"/>
      <c r="J37" s="57"/>
      <c r="K37" s="50" t="str">
        <f t="shared" si="1"/>
        <v/>
      </c>
      <c r="L37" s="57"/>
      <c r="M37" s="57"/>
      <c r="N37" s="57"/>
      <c r="O37" s="57"/>
      <c r="P37" s="57"/>
      <c r="Q37" s="57"/>
    </row>
    <row r="38" spans="1:17" x14ac:dyDescent="0.25">
      <c r="A38" s="57"/>
      <c r="B38" s="57"/>
      <c r="C38" s="57"/>
      <c r="D38" s="65"/>
      <c r="E38" s="65"/>
      <c r="F38" s="57"/>
      <c r="G38" s="50" t="str">
        <f t="shared" si="0"/>
        <v/>
      </c>
      <c r="H38" s="65"/>
      <c r="I38" s="65"/>
      <c r="J38" s="57"/>
      <c r="K38" s="50" t="str">
        <f t="shared" si="1"/>
        <v/>
      </c>
      <c r="L38" s="57"/>
      <c r="M38" s="57"/>
      <c r="N38" s="57"/>
      <c r="O38" s="57"/>
      <c r="P38" s="57"/>
      <c r="Q38" s="57"/>
    </row>
    <row r="39" spans="1:17" x14ac:dyDescent="0.25">
      <c r="A39" s="57"/>
      <c r="B39" s="57"/>
      <c r="C39" s="57"/>
      <c r="D39" s="65"/>
      <c r="E39" s="65"/>
      <c r="F39" s="57"/>
      <c r="G39" s="50" t="str">
        <f t="shared" si="0"/>
        <v/>
      </c>
      <c r="H39" s="65"/>
      <c r="I39" s="65"/>
      <c r="J39" s="57"/>
      <c r="K39" s="50" t="str">
        <f t="shared" si="1"/>
        <v/>
      </c>
      <c r="L39" s="57"/>
      <c r="M39" s="57"/>
      <c r="N39" s="57"/>
      <c r="O39" s="57"/>
      <c r="P39" s="57"/>
      <c r="Q39" s="57"/>
    </row>
    <row r="40" spans="1:17" x14ac:dyDescent="0.25">
      <c r="A40" s="57"/>
      <c r="B40" s="57"/>
      <c r="C40" s="57"/>
      <c r="D40" s="65"/>
      <c r="E40" s="65"/>
      <c r="F40" s="57"/>
      <c r="G40" s="50" t="str">
        <f t="shared" si="0"/>
        <v/>
      </c>
      <c r="H40" s="65"/>
      <c r="I40" s="65"/>
      <c r="J40" s="57"/>
      <c r="K40" s="50" t="str">
        <f t="shared" si="1"/>
        <v/>
      </c>
      <c r="L40" s="57"/>
      <c r="M40" s="57"/>
      <c r="N40" s="57"/>
      <c r="O40" s="57"/>
      <c r="P40" s="57"/>
      <c r="Q40" s="57"/>
    </row>
    <row r="41" spans="1:17" x14ac:dyDescent="0.25">
      <c r="A41" s="57"/>
      <c r="B41" s="57"/>
      <c r="C41" s="57"/>
      <c r="D41" s="65"/>
      <c r="E41" s="65"/>
      <c r="F41" s="57"/>
      <c r="G41" s="50" t="str">
        <f t="shared" si="0"/>
        <v/>
      </c>
      <c r="H41" s="65"/>
      <c r="I41" s="65"/>
      <c r="J41" s="57"/>
      <c r="K41" s="50" t="str">
        <f t="shared" si="1"/>
        <v/>
      </c>
      <c r="L41" s="57"/>
      <c r="M41" s="57"/>
      <c r="N41" s="57"/>
      <c r="O41" s="57"/>
      <c r="P41" s="57"/>
      <c r="Q41" s="57"/>
    </row>
    <row r="42" spans="1:17" x14ac:dyDescent="0.25">
      <c r="A42" s="57"/>
      <c r="B42" s="57"/>
      <c r="C42" s="57"/>
      <c r="D42" s="65"/>
      <c r="E42" s="65"/>
      <c r="F42" s="57"/>
      <c r="G42" s="50" t="str">
        <f t="shared" si="0"/>
        <v/>
      </c>
      <c r="H42" s="65"/>
      <c r="I42" s="65"/>
      <c r="J42" s="57"/>
      <c r="K42" s="50" t="str">
        <f t="shared" si="1"/>
        <v/>
      </c>
      <c r="L42" s="57"/>
      <c r="M42" s="57"/>
      <c r="N42" s="57"/>
      <c r="O42" s="57"/>
      <c r="P42" s="57"/>
      <c r="Q42" s="57"/>
    </row>
  </sheetData>
  <sheetProtection password="EFAC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ssociate_Tracker.associate_tracker">
                <anchor moveWithCells="1">
                  <from>
                    <xdr:col>0</xdr:col>
                    <xdr:colOff>485775</xdr:colOff>
                    <xdr:row>0</xdr:row>
                    <xdr:rowOff>152400</xdr:rowOff>
                  </from>
                  <to>
                    <xdr:col>0</xdr:col>
                    <xdr:colOff>1714500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495300</xdr:colOff>
                    <xdr:row>3</xdr:row>
                    <xdr:rowOff>0</xdr:rowOff>
                  </from>
                  <to>
                    <xdr:col>0</xdr:col>
                    <xdr:colOff>1724025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utton3_Click">
                <anchor moveWithCells="1" sizeWithCells="1">
                  <from>
                    <xdr:col>1</xdr:col>
                    <xdr:colOff>9525</xdr:colOff>
                    <xdr:row>1</xdr:row>
                    <xdr:rowOff>171450</xdr:rowOff>
                  </from>
                  <to>
                    <xdr:col>2</xdr:col>
                    <xdr:colOff>133350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EY31"/>
  <sheetViews>
    <sheetView showGridLines="0" showRowColHeaders="0" workbookViewId="0">
      <selection activeCell="B12" sqref="B12"/>
    </sheetView>
  </sheetViews>
  <sheetFormatPr defaultRowHeight="15" x14ac:dyDescent="0.25"/>
  <cols>
    <col min="1" max="1" width="17.5703125" customWidth="1"/>
    <col min="2" max="2" width="18.85546875" customWidth="1"/>
    <col min="3" max="3" width="27" customWidth="1"/>
    <col min="4" max="4" width="20.140625" customWidth="1"/>
    <col min="5" max="5" width="12.7109375" customWidth="1"/>
    <col min="6" max="6" width="11.28515625" customWidth="1"/>
    <col min="7" max="7" width="16.42578125" customWidth="1"/>
    <col min="8" max="8" width="10.42578125" customWidth="1"/>
    <col min="9" max="9" width="9.140625" customWidth="1"/>
    <col min="10" max="10" width="11.28515625" customWidth="1"/>
    <col min="11" max="11" width="18.28515625" customWidth="1"/>
    <col min="12" max="12" width="18.42578125" customWidth="1"/>
    <col min="13" max="13" width="22.28515625" customWidth="1"/>
    <col min="14" max="14" width="15.5703125" customWidth="1"/>
    <col min="15" max="15" width="12.28515625" customWidth="1"/>
    <col min="16" max="18" width="9.140625" customWidth="1"/>
    <col min="19" max="19" width="10.85546875" customWidth="1"/>
    <col min="20" max="20" width="9.140625" customWidth="1"/>
    <col min="21" max="21" width="10.140625" customWidth="1"/>
    <col min="22" max="22" width="9.140625" customWidth="1"/>
    <col min="23" max="23" width="15.140625" customWidth="1"/>
    <col min="24" max="24" width="9.140625" customWidth="1"/>
    <col min="25" max="25" width="12.5703125" customWidth="1"/>
    <col min="26" max="26" width="18.42578125" customWidth="1"/>
    <col min="27" max="27" width="19.5703125" customWidth="1"/>
    <col min="28" max="29" width="22.28515625" customWidth="1"/>
    <col min="30" max="31" width="9.140625" customWidth="1"/>
    <col min="32" max="32" width="10.85546875" customWidth="1"/>
    <col min="33" max="33" width="9.140625" customWidth="1"/>
    <col min="34" max="34" width="10.140625" customWidth="1"/>
    <col min="35" max="35" width="9.140625" customWidth="1"/>
    <col min="36" max="36" width="15.140625" customWidth="1"/>
    <col min="37" max="37" width="9.140625" customWidth="1"/>
    <col min="38" max="38" width="12.5703125" customWidth="1"/>
    <col min="39" max="52" width="9.140625" customWidth="1"/>
  </cols>
  <sheetData>
    <row r="2" spans="1:155" x14ac:dyDescent="0.25">
      <c r="C2" s="53"/>
      <c r="D2" s="53"/>
    </row>
    <row r="4" spans="1:155" x14ac:dyDescent="0.25">
      <c r="A4" s="3"/>
      <c r="B4" s="13"/>
      <c r="C4" s="13"/>
      <c r="D4" s="13"/>
      <c r="E4" s="3"/>
      <c r="F4" s="3"/>
      <c r="G4" s="3"/>
      <c r="H4" s="3"/>
      <c r="I4" s="3"/>
      <c r="J4" s="3"/>
      <c r="K4" s="3"/>
      <c r="M4" s="3"/>
      <c r="N4" s="3"/>
      <c r="O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</row>
    <row r="5" spans="1:155" x14ac:dyDescent="0.25">
      <c r="B5" s="43"/>
      <c r="C5" s="43"/>
      <c r="D5" s="43"/>
    </row>
    <row r="8" spans="1:155" x14ac:dyDescent="0.25">
      <c r="DZ8" s="47">
        <f t="shared" ref="DZ8:EH8" si="0">COUNTIF(E$10:E$274,"&lt;&gt;"&amp;"")</f>
        <v>2</v>
      </c>
      <c r="EA8" s="47">
        <f t="shared" si="0"/>
        <v>1</v>
      </c>
      <c r="EB8" s="47">
        <f t="shared" si="0"/>
        <v>1</v>
      </c>
      <c r="EC8" s="47">
        <f t="shared" si="0"/>
        <v>1</v>
      </c>
      <c r="ED8" s="47">
        <f t="shared" si="0"/>
        <v>0</v>
      </c>
      <c r="EE8" s="47">
        <f t="shared" si="0"/>
        <v>0</v>
      </c>
      <c r="EF8" s="47">
        <f t="shared" si="0"/>
        <v>0</v>
      </c>
      <c r="EG8" s="47">
        <f t="shared" si="0"/>
        <v>3</v>
      </c>
      <c r="EH8" s="47">
        <f t="shared" si="0"/>
        <v>2</v>
      </c>
      <c r="EI8" s="47">
        <f>COUNTIF(N$14:N$274,"&lt;&gt;"&amp;"")</f>
        <v>0</v>
      </c>
      <c r="EJ8" s="47"/>
      <c r="EK8" s="47"/>
      <c r="EL8" s="47"/>
      <c r="EM8" s="47"/>
      <c r="EN8" s="47"/>
      <c r="EO8" s="47">
        <f t="shared" ref="EO8:EW8" si="1">COUNTIF(Q$14:Q$274,"&lt;&gt;"&amp;"")</f>
        <v>0</v>
      </c>
      <c r="EP8" s="47">
        <f t="shared" si="1"/>
        <v>0</v>
      </c>
      <c r="EQ8" s="47">
        <f t="shared" si="1"/>
        <v>0</v>
      </c>
      <c r="ER8" s="47">
        <f t="shared" si="1"/>
        <v>0</v>
      </c>
      <c r="ES8" s="47">
        <f t="shared" si="1"/>
        <v>0</v>
      </c>
      <c r="ET8" s="47">
        <f t="shared" si="1"/>
        <v>0</v>
      </c>
      <c r="EU8" s="47">
        <f t="shared" si="1"/>
        <v>0</v>
      </c>
      <c r="EV8" s="47">
        <f t="shared" si="1"/>
        <v>0</v>
      </c>
      <c r="EW8" s="47">
        <f t="shared" si="1"/>
        <v>0</v>
      </c>
      <c r="EX8" s="47">
        <f>COUNTIF(Z$14:Z$274,"&lt;&gt;"&amp;"")</f>
        <v>0</v>
      </c>
      <c r="EY8" s="47">
        <f>COUNTIF(AA$14:AA$274,"&lt;&gt;"&amp;"")</f>
        <v>0</v>
      </c>
    </row>
    <row r="9" spans="1:155" ht="15.75" x14ac:dyDescent="0.25">
      <c r="A9" s="2" t="s">
        <v>0</v>
      </c>
      <c r="B9" s="2" t="s">
        <v>1</v>
      </c>
      <c r="C9" s="2" t="s">
        <v>4</v>
      </c>
      <c r="D9" s="49" t="s">
        <v>5</v>
      </c>
      <c r="E9" s="2" t="s">
        <v>110</v>
      </c>
      <c r="F9" s="2" t="s">
        <v>111</v>
      </c>
      <c r="G9" s="49" t="s">
        <v>112</v>
      </c>
      <c r="H9" s="2" t="s">
        <v>113</v>
      </c>
      <c r="I9" s="2" t="s">
        <v>114</v>
      </c>
      <c r="J9" s="2" t="s">
        <v>115</v>
      </c>
      <c r="K9" s="2" t="s">
        <v>116</v>
      </c>
      <c r="L9" s="2" t="s">
        <v>57</v>
      </c>
      <c r="M9" s="2" t="s">
        <v>56</v>
      </c>
      <c r="N9" s="2" t="s">
        <v>54</v>
      </c>
      <c r="O9" s="2" t="s">
        <v>55</v>
      </c>
      <c r="P9" s="2" t="s">
        <v>117</v>
      </c>
      <c r="Q9" s="2" t="s">
        <v>118</v>
      </c>
      <c r="R9" s="2" t="s">
        <v>119</v>
      </c>
      <c r="S9" s="2" t="s">
        <v>120</v>
      </c>
      <c r="T9" s="2" t="s">
        <v>121</v>
      </c>
      <c r="U9" s="2" t="s">
        <v>122</v>
      </c>
      <c r="V9" s="2" t="s">
        <v>123</v>
      </c>
      <c r="W9" s="2" t="s">
        <v>124</v>
      </c>
      <c r="X9" s="2" t="s">
        <v>125</v>
      </c>
      <c r="Y9" s="49" t="s">
        <v>126</v>
      </c>
      <c r="Z9" s="49" t="s">
        <v>131</v>
      </c>
      <c r="AA9" s="2" t="s">
        <v>129</v>
      </c>
      <c r="AB9" s="49" t="s">
        <v>132</v>
      </c>
    </row>
    <row r="10" spans="1:155" x14ac:dyDescent="0.25">
      <c r="A10" s="57" t="s">
        <v>148</v>
      </c>
      <c r="B10" s="57" t="s">
        <v>161</v>
      </c>
      <c r="C10" s="57" t="s">
        <v>181</v>
      </c>
      <c r="D10" s="57" t="s">
        <v>183</v>
      </c>
      <c r="E10" s="46"/>
      <c r="F10" s="46"/>
      <c r="G10" s="46">
        <v>4</v>
      </c>
      <c r="H10" s="46"/>
      <c r="I10" s="46"/>
      <c r="J10" s="46"/>
      <c r="K10" s="46"/>
      <c r="L10" s="46">
        <v>2</v>
      </c>
      <c r="M10" s="46">
        <v>4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</row>
    <row r="11" spans="1:155" x14ac:dyDescent="0.25">
      <c r="A11" s="57" t="s">
        <v>149</v>
      </c>
      <c r="B11" s="57" t="s">
        <v>162</v>
      </c>
      <c r="C11" s="57" t="s">
        <v>158</v>
      </c>
      <c r="D11" s="57" t="s">
        <v>32</v>
      </c>
      <c r="E11" s="46"/>
      <c r="F11" s="46">
        <v>4</v>
      </c>
      <c r="G11" s="46"/>
      <c r="H11" s="46"/>
      <c r="I11" s="46"/>
      <c r="J11" s="46"/>
      <c r="K11" s="46"/>
      <c r="L11" s="46">
        <v>3</v>
      </c>
      <c r="M11" s="46">
        <v>3</v>
      </c>
      <c r="N11" s="46"/>
      <c r="O11" s="46">
        <v>3</v>
      </c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>
        <v>0</v>
      </c>
      <c r="AB11" s="46"/>
    </row>
    <row r="12" spans="1:155" x14ac:dyDescent="0.25">
      <c r="A12" s="57" t="s">
        <v>150</v>
      </c>
      <c r="B12" s="57" t="s">
        <v>163</v>
      </c>
      <c r="C12" s="57" t="s">
        <v>39</v>
      </c>
      <c r="D12" s="57" t="s">
        <v>184</v>
      </c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</row>
    <row r="13" spans="1:155" x14ac:dyDescent="0.25">
      <c r="A13" s="57" t="s">
        <v>40</v>
      </c>
      <c r="B13" s="57" t="s">
        <v>164</v>
      </c>
      <c r="C13" s="57" t="s">
        <v>36</v>
      </c>
      <c r="D13" s="57" t="s">
        <v>34</v>
      </c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</row>
    <row r="14" spans="1:155" x14ac:dyDescent="0.25">
      <c r="A14" s="57" t="s">
        <v>106</v>
      </c>
      <c r="B14" s="57" t="s">
        <v>107</v>
      </c>
      <c r="C14" s="57" t="s">
        <v>36</v>
      </c>
      <c r="D14" s="57" t="s">
        <v>184</v>
      </c>
      <c r="E14">
        <v>2</v>
      </c>
      <c r="H14">
        <v>3</v>
      </c>
      <c r="L14">
        <v>3</v>
      </c>
    </row>
    <row r="15" spans="1:155" x14ac:dyDescent="0.25">
      <c r="A15" s="57" t="s">
        <v>151</v>
      </c>
      <c r="B15" s="57" t="s">
        <v>165</v>
      </c>
      <c r="C15" s="57" t="s">
        <v>36</v>
      </c>
      <c r="D15" s="57" t="s">
        <v>32</v>
      </c>
    </row>
    <row r="16" spans="1:155" x14ac:dyDescent="0.25">
      <c r="A16" s="57" t="s">
        <v>38</v>
      </c>
      <c r="B16" s="57" t="s">
        <v>166</v>
      </c>
      <c r="C16" s="57" t="s">
        <v>36</v>
      </c>
      <c r="D16" s="57" t="s">
        <v>185</v>
      </c>
    </row>
    <row r="17" spans="1:5" x14ac:dyDescent="0.25">
      <c r="A17" s="57" t="s">
        <v>39</v>
      </c>
      <c r="B17" s="57" t="s">
        <v>167</v>
      </c>
      <c r="C17" s="57" t="s">
        <v>37</v>
      </c>
      <c r="D17" s="57" t="s">
        <v>184</v>
      </c>
    </row>
    <row r="18" spans="1:5" x14ac:dyDescent="0.25">
      <c r="A18" s="57" t="s">
        <v>152</v>
      </c>
      <c r="B18" s="57" t="s">
        <v>168</v>
      </c>
      <c r="C18" s="57" t="s">
        <v>39</v>
      </c>
      <c r="D18" s="57" t="s">
        <v>184</v>
      </c>
    </row>
    <row r="19" spans="1:5" x14ac:dyDescent="0.25">
      <c r="A19" s="57" t="s">
        <v>153</v>
      </c>
      <c r="B19" s="57" t="s">
        <v>169</v>
      </c>
      <c r="C19" s="57" t="s">
        <v>158</v>
      </c>
      <c r="D19" s="57" t="s">
        <v>32</v>
      </c>
    </row>
    <row r="20" spans="1:5" x14ac:dyDescent="0.25">
      <c r="A20" s="57" t="s">
        <v>154</v>
      </c>
      <c r="B20" s="57" t="s">
        <v>170</v>
      </c>
      <c r="C20" s="57" t="s">
        <v>36</v>
      </c>
      <c r="D20" s="57" t="s">
        <v>32</v>
      </c>
    </row>
    <row r="21" spans="1:5" x14ac:dyDescent="0.25">
      <c r="A21" s="57" t="s">
        <v>145</v>
      </c>
      <c r="B21" s="57" t="s">
        <v>146</v>
      </c>
      <c r="C21" s="57" t="s">
        <v>39</v>
      </c>
      <c r="D21" s="57" t="s">
        <v>184</v>
      </c>
    </row>
    <row r="22" spans="1:5" x14ac:dyDescent="0.25">
      <c r="A22" s="57" t="s">
        <v>136</v>
      </c>
      <c r="B22" s="57" t="s">
        <v>133</v>
      </c>
      <c r="C22" s="57" t="s">
        <v>38</v>
      </c>
      <c r="D22" s="57" t="s">
        <v>34</v>
      </c>
      <c r="E22">
        <v>2</v>
      </c>
    </row>
    <row r="23" spans="1:5" x14ac:dyDescent="0.25">
      <c r="A23" s="57" t="s">
        <v>155</v>
      </c>
      <c r="B23" s="57" t="s">
        <v>171</v>
      </c>
      <c r="C23" s="57" t="s">
        <v>158</v>
      </c>
      <c r="D23" s="57" t="s">
        <v>185</v>
      </c>
    </row>
    <row r="24" spans="1:5" x14ac:dyDescent="0.25">
      <c r="A24" s="57" t="s">
        <v>41</v>
      </c>
      <c r="B24" s="57" t="s">
        <v>172</v>
      </c>
      <c r="C24" s="57" t="s">
        <v>38</v>
      </c>
      <c r="D24" s="57" t="s">
        <v>185</v>
      </c>
    </row>
    <row r="25" spans="1:5" x14ac:dyDescent="0.25">
      <c r="A25" s="57" t="s">
        <v>156</v>
      </c>
      <c r="B25" s="57" t="s">
        <v>173</v>
      </c>
      <c r="C25" s="57" t="s">
        <v>39</v>
      </c>
      <c r="D25" s="57" t="s">
        <v>184</v>
      </c>
    </row>
    <row r="26" spans="1:5" x14ac:dyDescent="0.25">
      <c r="A26" s="57" t="s">
        <v>157</v>
      </c>
      <c r="B26" s="57" t="s">
        <v>174</v>
      </c>
      <c r="C26" s="57" t="s">
        <v>38</v>
      </c>
      <c r="D26" s="57" t="s">
        <v>185</v>
      </c>
    </row>
    <row r="27" spans="1:5" x14ac:dyDescent="0.25">
      <c r="A27" s="57" t="s">
        <v>158</v>
      </c>
      <c r="B27" s="57" t="s">
        <v>175</v>
      </c>
      <c r="C27" s="57" t="s">
        <v>36</v>
      </c>
      <c r="D27" s="57" t="s">
        <v>32</v>
      </c>
    </row>
    <row r="28" spans="1:5" x14ac:dyDescent="0.25">
      <c r="A28" s="57" t="s">
        <v>36</v>
      </c>
      <c r="B28" s="57" t="s">
        <v>176</v>
      </c>
      <c r="C28" s="57" t="s">
        <v>37</v>
      </c>
      <c r="D28" s="57" t="s">
        <v>186</v>
      </c>
    </row>
    <row r="29" spans="1:5" x14ac:dyDescent="0.25">
      <c r="A29" s="57" t="s">
        <v>159</v>
      </c>
      <c r="B29" s="57" t="s">
        <v>177</v>
      </c>
      <c r="C29" s="57" t="s">
        <v>38</v>
      </c>
      <c r="D29" s="57" t="s">
        <v>185</v>
      </c>
    </row>
    <row r="30" spans="1:5" x14ac:dyDescent="0.25">
      <c r="A30" s="57" t="s">
        <v>160</v>
      </c>
      <c r="B30" s="57" t="s">
        <v>178</v>
      </c>
      <c r="C30" s="57" t="s">
        <v>39</v>
      </c>
      <c r="D30" s="57" t="s">
        <v>184</v>
      </c>
    </row>
    <row r="31" spans="1:5" x14ac:dyDescent="0.25">
      <c r="A31" s="57" t="s">
        <v>37</v>
      </c>
      <c r="B31" s="57" t="s">
        <v>179</v>
      </c>
      <c r="C31" s="57" t="s">
        <v>182</v>
      </c>
      <c r="D31" s="57" t="s">
        <v>186</v>
      </c>
    </row>
  </sheetData>
  <sheetProtection password="EFAC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6" r:id="rId3" name="Execute">
          <controlPr defaultSize="0" autoLine="0" r:id="rId4">
            <anchor moveWithCells="1">
              <from>
                <xdr:col>2</xdr:col>
                <xdr:colOff>1781175</xdr:colOff>
                <xdr:row>4</xdr:row>
                <xdr:rowOff>66675</xdr:rowOff>
              </from>
              <to>
                <xdr:col>3</xdr:col>
                <xdr:colOff>1209675</xdr:colOff>
                <xdr:row>5</xdr:row>
                <xdr:rowOff>152400</xdr:rowOff>
              </to>
            </anchor>
          </controlPr>
        </control>
      </mc:Choice>
      <mc:Fallback>
        <control shapeId="5136" r:id="rId3" name="Execute"/>
      </mc:Fallback>
    </mc:AlternateContent>
    <mc:AlternateContent xmlns:mc="http://schemas.openxmlformats.org/markup-compatibility/2006">
      <mc:Choice Requires="x14">
        <control shapeId="5135" r:id="rId5" name="Skill_listbox">
          <controlPr defaultSize="0" autoLine="0" r:id="rId6">
            <anchor moveWithCells="1">
              <from>
                <xdr:col>1</xdr:col>
                <xdr:colOff>1181100</xdr:colOff>
                <xdr:row>2</xdr:row>
                <xdr:rowOff>47625</xdr:rowOff>
              </from>
              <to>
                <xdr:col>2</xdr:col>
                <xdr:colOff>1714500</xdr:colOff>
                <xdr:row>6</xdr:row>
                <xdr:rowOff>85725</xdr:rowOff>
              </to>
            </anchor>
          </controlPr>
        </control>
      </mc:Choice>
      <mc:Fallback>
        <control shapeId="5135" r:id="rId5" name="Skill_listbox"/>
      </mc:Fallback>
    </mc:AlternateContent>
    <mc:AlternateContent xmlns:mc="http://schemas.openxmlformats.org/markup-compatibility/2006">
      <mc:Choice Requires="x14">
        <control shapeId="5129" r:id="rId7" name="CommandButton1">
          <controlPr defaultSize="0" autoLine="0" r:id="rId8">
            <anchor moveWithCells="1">
              <from>
                <xdr:col>0</xdr:col>
                <xdr:colOff>342900</xdr:colOff>
                <xdr:row>2</xdr:row>
                <xdr:rowOff>9525</xdr:rowOff>
              </from>
              <to>
                <xdr:col>1</xdr:col>
                <xdr:colOff>828675</xdr:colOff>
                <xdr:row>3</xdr:row>
                <xdr:rowOff>152400</xdr:rowOff>
              </to>
            </anchor>
          </controlPr>
        </control>
      </mc:Choice>
      <mc:Fallback>
        <control shapeId="5129" r:id="rId7" name="CommandButton1"/>
      </mc:Fallback>
    </mc:AlternateContent>
    <mc:AlternateContent xmlns:mc="http://schemas.openxmlformats.org/markup-compatibility/2006">
      <mc:Choice Requires="x14">
        <control shapeId="5133" r:id="rId9" name="Drop Down 13">
          <controlPr defaultSize="0" autoLine="0" autoPict="0">
            <anchor moveWithCells="1">
              <from>
                <xdr:col>2</xdr:col>
                <xdr:colOff>1771650</xdr:colOff>
                <xdr:row>2</xdr:row>
                <xdr:rowOff>114300</xdr:rowOff>
              </from>
              <to>
                <xdr:col>3</xdr:col>
                <xdr:colOff>1200150</xdr:colOff>
                <xdr:row>3</xdr:row>
                <xdr:rowOff>133350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6:NF197"/>
  <sheetViews>
    <sheetView showGridLines="0" showRowColHeaders="0" zoomScaleNormal="100" workbookViewId="0">
      <selection activeCell="BN1" sqref="BN1"/>
    </sheetView>
  </sheetViews>
  <sheetFormatPr defaultRowHeight="15" x14ac:dyDescent="0.25"/>
  <cols>
    <col min="1" max="1" width="17.5703125" bestFit="1" customWidth="1"/>
    <col min="2" max="2" width="18.85546875" bestFit="1" customWidth="1"/>
    <col min="3" max="3" width="16.5703125" bestFit="1" customWidth="1"/>
    <col min="4" max="4" width="13.5703125" bestFit="1" customWidth="1"/>
    <col min="5" max="370" width="9.140625" hidden="1" customWidth="1"/>
  </cols>
  <sheetData>
    <row r="6" spans="1:369" x14ac:dyDescent="0.25">
      <c r="C6" s="3"/>
      <c r="D6" s="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43"/>
      <c r="EK6" s="43"/>
      <c r="EL6" s="43"/>
      <c r="EM6" s="43"/>
      <c r="EN6" s="43"/>
      <c r="EO6" s="43"/>
      <c r="EP6" s="43"/>
      <c r="EQ6" s="43"/>
      <c r="ER6" s="43"/>
      <c r="ES6" s="43"/>
      <c r="ET6" s="43"/>
      <c r="EU6" s="43"/>
      <c r="EV6" s="43"/>
      <c r="EW6" s="43"/>
      <c r="EX6" s="43"/>
      <c r="EY6" s="43"/>
    </row>
    <row r="7" spans="1:369" ht="15.75" thickBot="1" x14ac:dyDescent="0.3">
      <c r="C7" s="3"/>
      <c r="D7" s="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43"/>
      <c r="DZ7" s="43"/>
      <c r="EA7" s="43"/>
      <c r="EB7" s="43"/>
      <c r="EC7" s="43"/>
      <c r="ED7" s="43"/>
      <c r="EE7" s="43"/>
      <c r="EF7" s="43"/>
      <c r="EG7" s="43"/>
      <c r="EH7" s="43"/>
      <c r="EI7" s="43"/>
      <c r="EJ7" s="43"/>
      <c r="EK7" s="43"/>
      <c r="EL7" s="43"/>
      <c r="EM7" s="43"/>
      <c r="EN7" s="43"/>
      <c r="EO7" s="43"/>
      <c r="EP7" s="43"/>
      <c r="EQ7" s="43"/>
      <c r="ER7" s="43"/>
      <c r="ES7" s="43"/>
      <c r="ET7" s="43"/>
      <c r="EU7" s="43"/>
      <c r="EV7" s="43"/>
      <c r="EW7" s="43"/>
      <c r="EX7" s="43"/>
      <c r="EY7" s="43"/>
    </row>
    <row r="8" spans="1:369" ht="15.75" thickBot="1" x14ac:dyDescent="0.3">
      <c r="C8" s="3"/>
      <c r="D8" s="6"/>
      <c r="E8" s="76" t="s">
        <v>13</v>
      </c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8"/>
      <c r="AI8" s="69" t="s">
        <v>14</v>
      </c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1"/>
      <c r="BN8" s="76" t="s">
        <v>15</v>
      </c>
      <c r="BO8" s="70"/>
      <c r="BP8" s="70"/>
      <c r="BQ8" s="70"/>
      <c r="BR8" s="70"/>
      <c r="BS8" s="70"/>
      <c r="BT8" s="70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/>
      <c r="CG8" s="70"/>
      <c r="CH8" s="70"/>
      <c r="CI8" s="70"/>
      <c r="CJ8" s="70"/>
      <c r="CK8" s="70"/>
      <c r="CL8" s="70"/>
      <c r="CM8" s="70"/>
      <c r="CN8" s="70"/>
      <c r="CO8" s="70"/>
      <c r="CP8" s="70"/>
      <c r="CQ8" s="78"/>
      <c r="CR8" s="72" t="s">
        <v>16</v>
      </c>
      <c r="CS8" s="72"/>
      <c r="CT8" s="72"/>
      <c r="CU8" s="72"/>
      <c r="CV8" s="72"/>
      <c r="CW8" s="72"/>
      <c r="CX8" s="72"/>
      <c r="CY8" s="72"/>
      <c r="CZ8" s="72"/>
      <c r="DA8" s="72"/>
      <c r="DB8" s="72"/>
      <c r="DC8" s="72"/>
      <c r="DD8" s="72"/>
      <c r="DE8" s="72"/>
      <c r="DF8" s="72"/>
      <c r="DG8" s="72"/>
      <c r="DH8" s="72"/>
      <c r="DI8" s="72"/>
      <c r="DJ8" s="72"/>
      <c r="DK8" s="72"/>
      <c r="DL8" s="72"/>
      <c r="DM8" s="72"/>
      <c r="DN8" s="72"/>
      <c r="DO8" s="72"/>
      <c r="DP8" s="72"/>
      <c r="DQ8" s="72"/>
      <c r="DR8" s="72"/>
      <c r="DS8" s="72"/>
      <c r="DT8" s="72"/>
      <c r="DU8" s="72"/>
      <c r="DV8" s="72"/>
      <c r="DW8" s="73" t="s">
        <v>17</v>
      </c>
      <c r="DX8" s="74"/>
      <c r="DY8" s="74"/>
      <c r="DZ8" s="74"/>
      <c r="EA8" s="74"/>
      <c r="EB8" s="74"/>
      <c r="EC8" s="74"/>
      <c r="ED8" s="74"/>
      <c r="EE8" s="74"/>
      <c r="EF8" s="74"/>
      <c r="EG8" s="74"/>
      <c r="EH8" s="74"/>
      <c r="EI8" s="74"/>
      <c r="EJ8" s="74"/>
      <c r="EK8" s="74"/>
      <c r="EL8" s="74"/>
      <c r="EM8" s="74"/>
      <c r="EN8" s="74"/>
      <c r="EO8" s="74"/>
      <c r="EP8" s="74"/>
      <c r="EQ8" s="74"/>
      <c r="ER8" s="74"/>
      <c r="ES8" s="74"/>
      <c r="ET8" s="74"/>
      <c r="EU8" s="74"/>
      <c r="EV8" s="74"/>
      <c r="EW8" s="74"/>
      <c r="EX8" s="74"/>
      <c r="EY8" s="74"/>
      <c r="EZ8" s="74"/>
      <c r="FA8" s="75"/>
      <c r="FB8" s="73" t="s">
        <v>18</v>
      </c>
      <c r="FC8" s="74"/>
      <c r="FD8" s="74"/>
      <c r="FE8" s="74"/>
      <c r="FF8" s="74"/>
      <c r="FG8" s="74"/>
      <c r="FH8" s="74"/>
      <c r="FI8" s="74"/>
      <c r="FJ8" s="74"/>
      <c r="FK8" s="74"/>
      <c r="FL8" s="74"/>
      <c r="FM8" s="74"/>
      <c r="FN8" s="74"/>
      <c r="FO8" s="74"/>
      <c r="FP8" s="74"/>
      <c r="FQ8" s="74"/>
      <c r="FR8" s="74"/>
      <c r="FS8" s="74"/>
      <c r="FT8" s="74"/>
      <c r="FU8" s="74"/>
      <c r="FV8" s="74"/>
      <c r="FW8" s="74"/>
      <c r="FX8" s="74"/>
      <c r="FY8" s="74"/>
      <c r="FZ8" s="74"/>
      <c r="GA8" s="74"/>
      <c r="GB8" s="74"/>
      <c r="GC8" s="74"/>
      <c r="GD8" s="74"/>
      <c r="GE8" s="75"/>
      <c r="GF8" s="79" t="s">
        <v>19</v>
      </c>
      <c r="GG8" s="70"/>
      <c r="GH8" s="70"/>
      <c r="GI8" s="70"/>
      <c r="GJ8" s="70"/>
      <c r="GK8" s="70"/>
      <c r="GL8" s="70"/>
      <c r="GM8" s="70"/>
      <c r="GN8" s="70"/>
      <c r="GO8" s="70"/>
      <c r="GP8" s="70"/>
      <c r="GQ8" s="70"/>
      <c r="GR8" s="70"/>
      <c r="GS8" s="70"/>
      <c r="GT8" s="70"/>
      <c r="GU8" s="70"/>
      <c r="GV8" s="70"/>
      <c r="GW8" s="70"/>
      <c r="GX8" s="70"/>
      <c r="GY8" s="70"/>
      <c r="GZ8" s="70"/>
      <c r="HA8" s="70"/>
      <c r="HB8" s="70"/>
      <c r="HC8" s="70"/>
      <c r="HD8" s="70"/>
      <c r="HE8" s="70"/>
      <c r="HF8" s="70"/>
      <c r="HG8" s="70"/>
      <c r="HH8" s="70"/>
      <c r="HI8" s="70"/>
      <c r="HJ8" s="78"/>
      <c r="HK8" s="72" t="s">
        <v>20</v>
      </c>
      <c r="HL8" s="77"/>
      <c r="HM8" s="77"/>
      <c r="HN8" s="77"/>
      <c r="HO8" s="77"/>
      <c r="HP8" s="77"/>
      <c r="HQ8" s="77"/>
      <c r="HR8" s="77"/>
      <c r="HS8" s="77"/>
      <c r="HT8" s="77"/>
      <c r="HU8" s="77"/>
      <c r="HV8" s="77"/>
      <c r="HW8" s="77"/>
      <c r="HX8" s="77"/>
      <c r="HY8" s="77"/>
      <c r="HZ8" s="77"/>
      <c r="IA8" s="77"/>
      <c r="IB8" s="77"/>
      <c r="IC8" s="77"/>
      <c r="ID8" s="77"/>
      <c r="IE8" s="77"/>
      <c r="IF8" s="77"/>
      <c r="IG8" s="77"/>
      <c r="IH8" s="77"/>
      <c r="II8" s="77"/>
      <c r="IJ8" s="77"/>
      <c r="IK8" s="77"/>
      <c r="IL8" s="77"/>
      <c r="IM8" s="77"/>
      <c r="IN8" s="77"/>
      <c r="IO8" s="72" t="s">
        <v>21</v>
      </c>
      <c r="IP8" s="72"/>
      <c r="IQ8" s="72"/>
      <c r="IR8" s="72"/>
      <c r="IS8" s="72"/>
      <c r="IT8" s="72"/>
      <c r="IU8" s="72"/>
      <c r="IV8" s="72"/>
      <c r="IW8" s="72"/>
      <c r="IX8" s="72"/>
      <c r="IY8" s="72"/>
      <c r="IZ8" s="72"/>
      <c r="JA8" s="72"/>
      <c r="JB8" s="72"/>
      <c r="JC8" s="72"/>
      <c r="JD8" s="72"/>
      <c r="JE8" s="72"/>
      <c r="JF8" s="72"/>
      <c r="JG8" s="72"/>
      <c r="JH8" s="72"/>
      <c r="JI8" s="72"/>
      <c r="JJ8" s="72"/>
      <c r="JK8" s="72"/>
      <c r="JL8" s="72"/>
      <c r="JM8" s="72"/>
      <c r="JN8" s="72"/>
      <c r="JO8" s="72"/>
      <c r="JP8" s="72"/>
      <c r="JQ8" s="72"/>
      <c r="JR8" s="72"/>
      <c r="JS8" s="72"/>
      <c r="JT8" s="69" t="s">
        <v>10</v>
      </c>
      <c r="JU8" s="70"/>
      <c r="JV8" s="70"/>
      <c r="JW8" s="70"/>
      <c r="JX8" s="70"/>
      <c r="JY8" s="70"/>
      <c r="JZ8" s="70"/>
      <c r="KA8" s="70"/>
      <c r="KB8" s="70"/>
      <c r="KC8" s="70"/>
      <c r="KD8" s="70"/>
      <c r="KE8" s="70"/>
      <c r="KF8" s="70"/>
      <c r="KG8" s="70"/>
      <c r="KH8" s="70"/>
      <c r="KI8" s="70"/>
      <c r="KJ8" s="70"/>
      <c r="KK8" s="70"/>
      <c r="KL8" s="70"/>
      <c r="KM8" s="70"/>
      <c r="KN8" s="70"/>
      <c r="KO8" s="70"/>
      <c r="KP8" s="70"/>
      <c r="KQ8" s="70"/>
      <c r="KR8" s="70"/>
      <c r="KS8" s="70"/>
      <c r="KT8" s="70"/>
      <c r="KU8" s="70"/>
      <c r="KV8" s="70"/>
      <c r="KW8" s="70"/>
      <c r="KX8" s="71"/>
      <c r="KY8" s="76" t="s">
        <v>11</v>
      </c>
      <c r="KZ8" s="70"/>
      <c r="LA8" s="70"/>
      <c r="LB8" s="70"/>
      <c r="LC8" s="70"/>
      <c r="LD8" s="70"/>
      <c r="LE8" s="70"/>
      <c r="LF8" s="70"/>
      <c r="LG8" s="70"/>
      <c r="LH8" s="70"/>
      <c r="LI8" s="70"/>
      <c r="LJ8" s="70"/>
      <c r="LK8" s="70"/>
      <c r="LL8" s="70"/>
      <c r="LM8" s="70"/>
      <c r="LN8" s="70"/>
      <c r="LO8" s="70"/>
      <c r="LP8" s="70"/>
      <c r="LQ8" s="70"/>
      <c r="LR8" s="70"/>
      <c r="LS8" s="70"/>
      <c r="LT8" s="70"/>
      <c r="LU8" s="70"/>
      <c r="LV8" s="70"/>
      <c r="LW8" s="70"/>
      <c r="LX8" s="70"/>
      <c r="LY8" s="70"/>
      <c r="LZ8" s="70"/>
      <c r="MA8" s="69" t="s">
        <v>12</v>
      </c>
      <c r="MB8" s="70"/>
      <c r="MC8" s="70"/>
      <c r="MD8" s="70"/>
      <c r="ME8" s="70"/>
      <c r="MF8" s="70"/>
      <c r="MG8" s="70"/>
      <c r="MH8" s="70"/>
      <c r="MI8" s="70"/>
      <c r="MJ8" s="70"/>
      <c r="MK8" s="70"/>
      <c r="ML8" s="70"/>
      <c r="MM8" s="70"/>
      <c r="MN8" s="70"/>
      <c r="MO8" s="70"/>
      <c r="MP8" s="70"/>
      <c r="MQ8" s="70"/>
      <c r="MR8" s="70"/>
      <c r="MS8" s="70"/>
      <c r="MT8" s="70"/>
      <c r="MU8" s="70"/>
      <c r="MV8" s="70"/>
      <c r="MW8" s="70"/>
      <c r="MX8" s="70"/>
      <c r="MY8" s="70"/>
      <c r="MZ8" s="70"/>
      <c r="NA8" s="70"/>
      <c r="NB8" s="70"/>
      <c r="NC8" s="70"/>
      <c r="ND8" s="70"/>
      <c r="NE8" s="71"/>
    </row>
    <row r="9" spans="1:369" ht="15.75" thickBot="1" x14ac:dyDescent="0.3">
      <c r="A9" s="4"/>
      <c r="B9" s="4"/>
      <c r="C9" s="4"/>
      <c r="D9" s="7"/>
      <c r="E9" s="16" t="s">
        <v>48</v>
      </c>
      <c r="F9" s="16" t="s">
        <v>49</v>
      </c>
      <c r="G9" s="16" t="s">
        <v>50</v>
      </c>
      <c r="H9" s="8" t="s">
        <v>51</v>
      </c>
      <c r="I9" s="19" t="s">
        <v>52</v>
      </c>
      <c r="J9" s="19" t="s">
        <v>46</v>
      </c>
      <c r="K9" s="16" t="s">
        <v>47</v>
      </c>
      <c r="L9" s="16" t="s">
        <v>48</v>
      </c>
      <c r="M9" s="8" t="s">
        <v>49</v>
      </c>
      <c r="N9" s="8" t="s">
        <v>50</v>
      </c>
      <c r="O9" s="8" t="s">
        <v>51</v>
      </c>
      <c r="P9" s="19" t="s">
        <v>52</v>
      </c>
      <c r="Q9" s="19" t="s">
        <v>46</v>
      </c>
      <c r="R9" s="16" t="s">
        <v>47</v>
      </c>
      <c r="S9" s="16" t="s">
        <v>48</v>
      </c>
      <c r="T9" s="8" t="s">
        <v>49</v>
      </c>
      <c r="U9" s="8" t="s">
        <v>50</v>
      </c>
      <c r="V9" s="8" t="s">
        <v>51</v>
      </c>
      <c r="W9" s="19" t="s">
        <v>52</v>
      </c>
      <c r="X9" s="19" t="s">
        <v>46</v>
      </c>
      <c r="Y9" s="16" t="s">
        <v>47</v>
      </c>
      <c r="Z9" s="16" t="s">
        <v>48</v>
      </c>
      <c r="AA9" s="8" t="s">
        <v>49</v>
      </c>
      <c r="AB9" s="8" t="s">
        <v>50</v>
      </c>
      <c r="AC9" s="8" t="s">
        <v>51</v>
      </c>
      <c r="AD9" s="19" t="s">
        <v>52</v>
      </c>
      <c r="AE9" s="19" t="s">
        <v>46</v>
      </c>
      <c r="AF9" s="16" t="s">
        <v>47</v>
      </c>
      <c r="AG9" s="16" t="s">
        <v>48</v>
      </c>
      <c r="AH9" s="8" t="s">
        <v>49</v>
      </c>
      <c r="AI9" s="8" t="s">
        <v>50</v>
      </c>
      <c r="AJ9" s="8" t="s">
        <v>51</v>
      </c>
      <c r="AK9" s="19" t="s">
        <v>52</v>
      </c>
      <c r="AL9" s="19" t="s">
        <v>46</v>
      </c>
      <c r="AM9" s="16" t="s">
        <v>47</v>
      </c>
      <c r="AN9" s="16" t="s">
        <v>53</v>
      </c>
      <c r="AO9" s="8" t="s">
        <v>49</v>
      </c>
      <c r="AP9" s="8" t="s">
        <v>50</v>
      </c>
      <c r="AQ9" s="8" t="s">
        <v>51</v>
      </c>
      <c r="AR9" s="19" t="s">
        <v>52</v>
      </c>
      <c r="AS9" s="19" t="s">
        <v>46</v>
      </c>
      <c r="AT9" s="16" t="s">
        <v>47</v>
      </c>
      <c r="AU9" s="16" t="s">
        <v>53</v>
      </c>
      <c r="AV9" s="8" t="s">
        <v>49</v>
      </c>
      <c r="AW9" s="8" t="s">
        <v>50</v>
      </c>
      <c r="AX9" s="8" t="s">
        <v>51</v>
      </c>
      <c r="AY9" s="22" t="s">
        <v>52</v>
      </c>
      <c r="AZ9" s="22" t="s">
        <v>46</v>
      </c>
      <c r="BA9" s="16" t="s">
        <v>47</v>
      </c>
      <c r="BB9" s="16" t="s">
        <v>53</v>
      </c>
      <c r="BC9" s="8" t="s">
        <v>49</v>
      </c>
      <c r="BD9" s="8" t="s">
        <v>50</v>
      </c>
      <c r="BE9" s="8" t="s">
        <v>51</v>
      </c>
      <c r="BF9" s="22" t="s">
        <v>52</v>
      </c>
      <c r="BG9" s="22" t="s">
        <v>46</v>
      </c>
      <c r="BH9" s="16" t="s">
        <v>47</v>
      </c>
      <c r="BI9" s="16" t="s">
        <v>53</v>
      </c>
      <c r="BJ9" s="8" t="s">
        <v>49</v>
      </c>
      <c r="BK9" s="8" t="s">
        <v>50</v>
      </c>
      <c r="BL9" s="8" t="s">
        <v>51</v>
      </c>
      <c r="BM9" s="24" t="s">
        <v>52</v>
      </c>
      <c r="BN9" s="22" t="s">
        <v>46</v>
      </c>
      <c r="BO9" s="8" t="s">
        <v>47</v>
      </c>
      <c r="BP9" s="8" t="s">
        <v>48</v>
      </c>
      <c r="BQ9" s="8" t="s">
        <v>49</v>
      </c>
      <c r="BR9" s="16" t="s">
        <v>50</v>
      </c>
      <c r="BS9" s="16" t="s">
        <v>51</v>
      </c>
      <c r="BT9" s="22" t="s">
        <v>52</v>
      </c>
      <c r="BU9" s="22" t="s">
        <v>46</v>
      </c>
      <c r="BV9" s="8" t="s">
        <v>47</v>
      </c>
      <c r="BW9" s="8" t="s">
        <v>48</v>
      </c>
      <c r="BX9" s="8" t="s">
        <v>49</v>
      </c>
      <c r="BY9" s="16" t="s">
        <v>50</v>
      </c>
      <c r="BZ9" s="16" t="s">
        <v>51</v>
      </c>
      <c r="CA9" s="22" t="s">
        <v>52</v>
      </c>
      <c r="CB9" s="22" t="s">
        <v>46</v>
      </c>
      <c r="CC9" s="8" t="s">
        <v>47</v>
      </c>
      <c r="CD9" s="8" t="s">
        <v>48</v>
      </c>
      <c r="CE9" s="8" t="s">
        <v>49</v>
      </c>
      <c r="CF9" s="16" t="s">
        <v>50</v>
      </c>
      <c r="CG9" s="16" t="s">
        <v>51</v>
      </c>
      <c r="CH9" s="19" t="s">
        <v>52</v>
      </c>
      <c r="CI9" s="19" t="s">
        <v>46</v>
      </c>
      <c r="CJ9" s="8" t="s">
        <v>47</v>
      </c>
      <c r="CK9" s="8" t="s">
        <v>48</v>
      </c>
      <c r="CL9" s="8" t="s">
        <v>49</v>
      </c>
      <c r="CM9" s="16" t="s">
        <v>50</v>
      </c>
      <c r="CN9" s="16" t="s">
        <v>51</v>
      </c>
      <c r="CO9" s="19" t="s">
        <v>52</v>
      </c>
      <c r="CP9" s="19" t="s">
        <v>46</v>
      </c>
      <c r="CQ9" s="8" t="s">
        <v>47</v>
      </c>
      <c r="CR9" s="8" t="s">
        <v>48</v>
      </c>
      <c r="CS9" s="8" t="s">
        <v>49</v>
      </c>
      <c r="CT9" s="8" t="s">
        <v>50</v>
      </c>
      <c r="CU9" s="8" t="s">
        <v>51</v>
      </c>
      <c r="CV9" s="9" t="s">
        <v>52</v>
      </c>
      <c r="CW9" s="9" t="s">
        <v>46</v>
      </c>
      <c r="CX9" s="8" t="s">
        <v>47</v>
      </c>
      <c r="CY9" s="8" t="s">
        <v>48</v>
      </c>
      <c r="CZ9" s="8" t="s">
        <v>49</v>
      </c>
      <c r="DA9" s="8" t="s">
        <v>50</v>
      </c>
      <c r="DB9" s="8" t="s">
        <v>51</v>
      </c>
      <c r="DC9" s="9" t="s">
        <v>52</v>
      </c>
      <c r="DD9" s="9" t="s">
        <v>46</v>
      </c>
      <c r="DE9" s="8" t="s">
        <v>47</v>
      </c>
      <c r="DF9" s="8" t="s">
        <v>48</v>
      </c>
      <c r="DG9" s="8" t="s">
        <v>49</v>
      </c>
      <c r="DH9" s="8" t="s">
        <v>50</v>
      </c>
      <c r="DI9" s="8" t="s">
        <v>51</v>
      </c>
      <c r="DJ9" s="9" t="s">
        <v>52</v>
      </c>
      <c r="DK9" s="9" t="s">
        <v>46</v>
      </c>
      <c r="DL9" s="8" t="s">
        <v>47</v>
      </c>
      <c r="DM9" s="8" t="s">
        <v>48</v>
      </c>
      <c r="DN9" s="8" t="s">
        <v>49</v>
      </c>
      <c r="DO9" s="8" t="s">
        <v>50</v>
      </c>
      <c r="DP9" s="8" t="s">
        <v>51</v>
      </c>
      <c r="DQ9" s="9" t="s">
        <v>52</v>
      </c>
      <c r="DR9" s="9" t="s">
        <v>46</v>
      </c>
      <c r="DS9" s="8" t="s">
        <v>47</v>
      </c>
      <c r="DT9" s="8" t="s">
        <v>48</v>
      </c>
      <c r="DU9" s="8" t="s">
        <v>49</v>
      </c>
      <c r="DV9" s="8" t="s">
        <v>50</v>
      </c>
      <c r="DW9" s="8" t="s">
        <v>51</v>
      </c>
      <c r="DX9" s="9" t="s">
        <v>52</v>
      </c>
      <c r="DY9" s="9" t="s">
        <v>46</v>
      </c>
      <c r="DZ9" s="8" t="s">
        <v>47</v>
      </c>
      <c r="EA9" s="8" t="s">
        <v>48</v>
      </c>
      <c r="EB9" s="8" t="s">
        <v>49</v>
      </c>
      <c r="EC9" s="8" t="s">
        <v>50</v>
      </c>
      <c r="ED9" s="8" t="s">
        <v>51</v>
      </c>
      <c r="EE9" s="9" t="s">
        <v>52</v>
      </c>
      <c r="EF9" s="9" t="s">
        <v>46</v>
      </c>
      <c r="EG9" s="8" t="s">
        <v>47</v>
      </c>
      <c r="EH9" s="8" t="s">
        <v>48</v>
      </c>
      <c r="EI9" s="8" t="s">
        <v>49</v>
      </c>
      <c r="EJ9" s="8" t="s">
        <v>50</v>
      </c>
      <c r="EK9" s="8" t="s">
        <v>51</v>
      </c>
      <c r="EL9" s="9" t="s">
        <v>52</v>
      </c>
      <c r="EM9" s="9" t="s">
        <v>46</v>
      </c>
      <c r="EN9" s="8" t="s">
        <v>47</v>
      </c>
      <c r="EO9" s="8" t="s">
        <v>48</v>
      </c>
      <c r="EP9" s="8" t="s">
        <v>49</v>
      </c>
      <c r="EQ9" s="8" t="s">
        <v>50</v>
      </c>
      <c r="ER9" s="8" t="s">
        <v>51</v>
      </c>
      <c r="ES9" s="9" t="s">
        <v>52</v>
      </c>
      <c r="ET9" s="9" t="s">
        <v>46</v>
      </c>
      <c r="EU9" s="8" t="s">
        <v>47</v>
      </c>
      <c r="EV9" s="8" t="s">
        <v>48</v>
      </c>
      <c r="EW9" s="8" t="s">
        <v>49</v>
      </c>
      <c r="EX9" s="8" t="s">
        <v>50</v>
      </c>
      <c r="EY9" s="8" t="s">
        <v>51</v>
      </c>
      <c r="EZ9" s="9" t="s">
        <v>52</v>
      </c>
      <c r="FA9" s="9" t="s">
        <v>46</v>
      </c>
      <c r="FB9" s="8" t="s">
        <v>47</v>
      </c>
      <c r="FC9" s="8" t="s">
        <v>48</v>
      </c>
      <c r="FD9" s="8" t="s">
        <v>49</v>
      </c>
      <c r="FE9" s="8" t="s">
        <v>50</v>
      </c>
      <c r="FF9" s="8" t="s">
        <v>51</v>
      </c>
      <c r="FG9" s="9" t="s">
        <v>52</v>
      </c>
      <c r="FH9" s="9" t="s">
        <v>46</v>
      </c>
      <c r="FI9" s="8" t="s">
        <v>47</v>
      </c>
      <c r="FJ9" s="8" t="s">
        <v>48</v>
      </c>
      <c r="FK9" s="8" t="s">
        <v>49</v>
      </c>
      <c r="FL9" s="8" t="s">
        <v>50</v>
      </c>
      <c r="FM9" s="8" t="s">
        <v>51</v>
      </c>
      <c r="FN9" s="9" t="s">
        <v>52</v>
      </c>
      <c r="FO9" s="9" t="s">
        <v>46</v>
      </c>
      <c r="FP9" s="8" t="s">
        <v>47</v>
      </c>
      <c r="FQ9" s="8" t="s">
        <v>48</v>
      </c>
      <c r="FR9" s="8" t="s">
        <v>49</v>
      </c>
      <c r="FS9" s="8" t="s">
        <v>50</v>
      </c>
      <c r="FT9" s="8" t="s">
        <v>51</v>
      </c>
      <c r="FU9" s="9" t="s">
        <v>52</v>
      </c>
      <c r="FV9" s="9" t="s">
        <v>46</v>
      </c>
      <c r="FW9" s="8" t="s">
        <v>47</v>
      </c>
      <c r="FX9" s="8" t="s">
        <v>48</v>
      </c>
      <c r="FY9" s="8" t="s">
        <v>49</v>
      </c>
      <c r="FZ9" s="8" t="s">
        <v>50</v>
      </c>
      <c r="GA9" s="8" t="s">
        <v>51</v>
      </c>
      <c r="GB9" s="9" t="s">
        <v>52</v>
      </c>
      <c r="GC9" s="9" t="s">
        <v>46</v>
      </c>
      <c r="GD9" s="8" t="s">
        <v>47</v>
      </c>
      <c r="GE9" s="8" t="s">
        <v>48</v>
      </c>
      <c r="GF9" s="8" t="s">
        <v>49</v>
      </c>
      <c r="GG9" s="8" t="s">
        <v>50</v>
      </c>
      <c r="GH9" s="8" t="s">
        <v>51</v>
      </c>
      <c r="GI9" s="9" t="s">
        <v>52</v>
      </c>
      <c r="GJ9" s="9" t="s">
        <v>46</v>
      </c>
      <c r="GK9" s="8" t="s">
        <v>47</v>
      </c>
      <c r="GL9" s="8" t="s">
        <v>48</v>
      </c>
      <c r="GM9" s="8" t="s">
        <v>49</v>
      </c>
      <c r="GN9" s="8" t="s">
        <v>50</v>
      </c>
      <c r="GO9" s="8" t="s">
        <v>51</v>
      </c>
      <c r="GP9" s="9" t="s">
        <v>52</v>
      </c>
      <c r="GQ9" s="9" t="s">
        <v>46</v>
      </c>
      <c r="GR9" s="8" t="s">
        <v>47</v>
      </c>
      <c r="GS9" s="8" t="s">
        <v>48</v>
      </c>
      <c r="GT9" s="8" t="s">
        <v>49</v>
      </c>
      <c r="GU9" s="8" t="s">
        <v>50</v>
      </c>
      <c r="GV9" s="8" t="s">
        <v>51</v>
      </c>
      <c r="GW9" s="9" t="s">
        <v>52</v>
      </c>
      <c r="GX9" s="9" t="s">
        <v>46</v>
      </c>
      <c r="GY9" s="8" t="s">
        <v>47</v>
      </c>
      <c r="GZ9" s="8" t="s">
        <v>48</v>
      </c>
      <c r="HA9" s="8" t="s">
        <v>49</v>
      </c>
      <c r="HB9" s="8" t="s">
        <v>50</v>
      </c>
      <c r="HC9" s="8" t="s">
        <v>51</v>
      </c>
      <c r="HD9" s="9" t="s">
        <v>52</v>
      </c>
      <c r="HE9" s="9" t="s">
        <v>46</v>
      </c>
      <c r="HF9" s="8" t="s">
        <v>47</v>
      </c>
      <c r="HG9" s="8" t="s">
        <v>48</v>
      </c>
      <c r="HH9" s="8" t="s">
        <v>49</v>
      </c>
      <c r="HI9" s="8" t="s">
        <v>50</v>
      </c>
      <c r="HJ9" s="8" t="s">
        <v>51</v>
      </c>
      <c r="HK9" s="9" t="s">
        <v>52</v>
      </c>
      <c r="HL9" s="9" t="s">
        <v>46</v>
      </c>
      <c r="HM9" s="8" t="s">
        <v>47</v>
      </c>
      <c r="HN9" s="8" t="s">
        <v>48</v>
      </c>
      <c r="HO9" s="8" t="s">
        <v>49</v>
      </c>
      <c r="HP9" s="8" t="s">
        <v>50</v>
      </c>
      <c r="HQ9" s="30" t="s">
        <v>51</v>
      </c>
      <c r="HR9" s="28" t="s">
        <v>52</v>
      </c>
      <c r="HS9" s="28" t="s">
        <v>46</v>
      </c>
      <c r="HT9" s="8" t="s">
        <v>47</v>
      </c>
      <c r="HU9" s="8" t="s">
        <v>48</v>
      </c>
      <c r="HV9" s="8" t="s">
        <v>49</v>
      </c>
      <c r="HW9" s="8" t="s">
        <v>50</v>
      </c>
      <c r="HX9" s="30" t="s">
        <v>51</v>
      </c>
      <c r="HY9" s="28" t="s">
        <v>52</v>
      </c>
      <c r="HZ9" s="28" t="s">
        <v>46</v>
      </c>
      <c r="IA9" s="8" t="s">
        <v>47</v>
      </c>
      <c r="IB9" s="8" t="s">
        <v>48</v>
      </c>
      <c r="IC9" s="8" t="s">
        <v>49</v>
      </c>
      <c r="ID9" s="8" t="s">
        <v>50</v>
      </c>
      <c r="IE9" s="30" t="s">
        <v>51</v>
      </c>
      <c r="IF9" s="28" t="s">
        <v>52</v>
      </c>
      <c r="IG9" s="28" t="s">
        <v>46</v>
      </c>
      <c r="IH9" s="8" t="s">
        <v>47</v>
      </c>
      <c r="II9" s="8" t="s">
        <v>48</v>
      </c>
      <c r="IJ9" s="8" t="s">
        <v>49</v>
      </c>
      <c r="IK9" s="8" t="s">
        <v>50</v>
      </c>
      <c r="IL9" s="30" t="s">
        <v>51</v>
      </c>
      <c r="IM9" s="28" t="s">
        <v>52</v>
      </c>
      <c r="IN9" s="28" t="s">
        <v>46</v>
      </c>
      <c r="IO9" s="29" t="s">
        <v>45</v>
      </c>
      <c r="IP9" s="29" t="s">
        <v>44</v>
      </c>
      <c r="IQ9" s="30" t="s">
        <v>49</v>
      </c>
      <c r="IR9" s="30" t="s">
        <v>50</v>
      </c>
      <c r="IS9" s="30" t="s">
        <v>51</v>
      </c>
      <c r="IT9" s="31" t="s">
        <v>52</v>
      </c>
      <c r="IU9" s="31" t="s">
        <v>46</v>
      </c>
      <c r="IV9" s="29" t="s">
        <v>45</v>
      </c>
      <c r="IW9" s="29" t="s">
        <v>44</v>
      </c>
      <c r="IX9" s="30" t="s">
        <v>49</v>
      </c>
      <c r="IY9" s="30" t="s">
        <v>50</v>
      </c>
      <c r="IZ9" s="30" t="s">
        <v>51</v>
      </c>
      <c r="JA9" s="28" t="s">
        <v>52</v>
      </c>
      <c r="JB9" s="28" t="s">
        <v>46</v>
      </c>
      <c r="JC9" s="29" t="s">
        <v>45</v>
      </c>
      <c r="JD9" s="29" t="s">
        <v>44</v>
      </c>
      <c r="JE9" s="30" t="s">
        <v>49</v>
      </c>
      <c r="JF9" s="30" t="s">
        <v>50</v>
      </c>
      <c r="JG9" s="30" t="s">
        <v>51</v>
      </c>
      <c r="JH9" s="28" t="s">
        <v>52</v>
      </c>
      <c r="JI9" s="28" t="s">
        <v>46</v>
      </c>
      <c r="JJ9" s="29" t="s">
        <v>45</v>
      </c>
      <c r="JK9" s="29" t="s">
        <v>44</v>
      </c>
      <c r="JL9" s="30" t="s">
        <v>49</v>
      </c>
      <c r="JM9" s="30" t="s">
        <v>50</v>
      </c>
      <c r="JN9" s="30" t="s">
        <v>51</v>
      </c>
      <c r="JO9" s="28" t="s">
        <v>52</v>
      </c>
      <c r="JP9" s="28" t="s">
        <v>46</v>
      </c>
      <c r="JQ9" s="29" t="s">
        <v>45</v>
      </c>
      <c r="JR9" s="29" t="s">
        <v>44</v>
      </c>
      <c r="JS9" s="30" t="s">
        <v>49</v>
      </c>
      <c r="JT9" s="16" t="s">
        <v>49</v>
      </c>
      <c r="JU9" s="16" t="s">
        <v>50</v>
      </c>
      <c r="JV9" s="16" t="s">
        <v>51</v>
      </c>
      <c r="JW9" s="19" t="s">
        <v>52</v>
      </c>
      <c r="JX9" s="19" t="s">
        <v>46</v>
      </c>
      <c r="JY9" s="16" t="s">
        <v>47</v>
      </c>
      <c r="JZ9" s="8" t="s">
        <v>48</v>
      </c>
      <c r="KA9" s="16" t="s">
        <v>49</v>
      </c>
      <c r="KB9" s="16" t="s">
        <v>50</v>
      </c>
      <c r="KC9" s="16" t="s">
        <v>51</v>
      </c>
      <c r="KD9" s="19" t="s">
        <v>52</v>
      </c>
      <c r="KE9" s="19" t="s">
        <v>46</v>
      </c>
      <c r="KF9" s="16" t="s">
        <v>47</v>
      </c>
      <c r="KG9" s="8" t="s">
        <v>48</v>
      </c>
      <c r="KH9" s="16" t="s">
        <v>49</v>
      </c>
      <c r="KI9" s="16" t="s">
        <v>50</v>
      </c>
      <c r="KJ9" s="16" t="s">
        <v>51</v>
      </c>
      <c r="KK9" s="19" t="s">
        <v>52</v>
      </c>
      <c r="KL9" s="19" t="s">
        <v>46</v>
      </c>
      <c r="KM9" s="16" t="s">
        <v>47</v>
      </c>
      <c r="KN9" s="8" t="s">
        <v>48</v>
      </c>
      <c r="KO9" s="16" t="s">
        <v>49</v>
      </c>
      <c r="KP9" s="16" t="s">
        <v>50</v>
      </c>
      <c r="KQ9" s="16" t="s">
        <v>51</v>
      </c>
      <c r="KR9" s="19" t="s">
        <v>52</v>
      </c>
      <c r="KS9" s="19" t="s">
        <v>46</v>
      </c>
      <c r="KT9" s="16" t="s">
        <v>47</v>
      </c>
      <c r="KU9" s="8" t="s">
        <v>48</v>
      </c>
      <c r="KV9" s="16" t="s">
        <v>49</v>
      </c>
      <c r="KW9" s="16" t="s">
        <v>50</v>
      </c>
      <c r="KX9" s="16" t="s">
        <v>51</v>
      </c>
      <c r="KY9" s="36" t="s">
        <v>52</v>
      </c>
      <c r="KZ9" s="36" t="s">
        <v>46</v>
      </c>
      <c r="LA9" s="37" t="s">
        <v>47</v>
      </c>
      <c r="LB9" s="38" t="s">
        <v>48</v>
      </c>
      <c r="LC9" s="37" t="s">
        <v>49</v>
      </c>
      <c r="LD9" s="37" t="s">
        <v>50</v>
      </c>
      <c r="LE9" s="37" t="s">
        <v>51</v>
      </c>
      <c r="LF9" s="36" t="s">
        <v>52</v>
      </c>
      <c r="LG9" s="36" t="s">
        <v>46</v>
      </c>
      <c r="LH9" s="37" t="s">
        <v>47</v>
      </c>
      <c r="LI9" s="38" t="s">
        <v>48</v>
      </c>
      <c r="LJ9" s="37" t="s">
        <v>49</v>
      </c>
      <c r="LK9" s="37" t="s">
        <v>50</v>
      </c>
      <c r="LL9" s="37" t="s">
        <v>51</v>
      </c>
      <c r="LM9" s="36" t="s">
        <v>52</v>
      </c>
      <c r="LN9" s="36" t="s">
        <v>46</v>
      </c>
      <c r="LO9" s="37" t="s">
        <v>47</v>
      </c>
      <c r="LP9" s="38" t="s">
        <v>48</v>
      </c>
      <c r="LQ9" s="37" t="s">
        <v>49</v>
      </c>
      <c r="LR9" s="37" t="s">
        <v>50</v>
      </c>
      <c r="LS9" s="37" t="s">
        <v>51</v>
      </c>
      <c r="LT9" s="36" t="s">
        <v>52</v>
      </c>
      <c r="LU9" s="36" t="s">
        <v>46</v>
      </c>
      <c r="LV9" s="37" t="s">
        <v>47</v>
      </c>
      <c r="LW9" s="38" t="s">
        <v>48</v>
      </c>
      <c r="LX9" s="37" t="s">
        <v>49</v>
      </c>
      <c r="LY9" s="37" t="s">
        <v>50</v>
      </c>
      <c r="LZ9" s="37" t="s">
        <v>51</v>
      </c>
      <c r="MA9" s="19" t="s">
        <v>52</v>
      </c>
      <c r="MB9" s="19" t="s">
        <v>46</v>
      </c>
      <c r="MC9" s="16" t="s">
        <v>47</v>
      </c>
      <c r="MD9" s="16" t="s">
        <v>48</v>
      </c>
      <c r="ME9" s="16" t="s">
        <v>49</v>
      </c>
      <c r="MF9" s="16" t="s">
        <v>50</v>
      </c>
      <c r="MG9" s="8" t="s">
        <v>51</v>
      </c>
      <c r="MH9" s="19" t="s">
        <v>52</v>
      </c>
      <c r="MI9" s="19" t="s">
        <v>46</v>
      </c>
      <c r="MJ9" s="16" t="s">
        <v>47</v>
      </c>
      <c r="MK9" s="16" t="s">
        <v>48</v>
      </c>
      <c r="ML9" s="16" t="s">
        <v>49</v>
      </c>
      <c r="MM9" s="16" t="s">
        <v>50</v>
      </c>
      <c r="MN9" s="8" t="s">
        <v>51</v>
      </c>
      <c r="MO9" s="19" t="s">
        <v>52</v>
      </c>
      <c r="MP9" s="19" t="s">
        <v>46</v>
      </c>
      <c r="MQ9" s="16" t="s">
        <v>47</v>
      </c>
      <c r="MR9" s="16" t="s">
        <v>48</v>
      </c>
      <c r="MS9" s="16" t="s">
        <v>49</v>
      </c>
      <c r="MT9" s="16" t="s">
        <v>50</v>
      </c>
      <c r="MU9" s="8" t="s">
        <v>51</v>
      </c>
      <c r="MV9" s="19" t="s">
        <v>52</v>
      </c>
      <c r="MW9" s="19" t="s">
        <v>46</v>
      </c>
      <c r="MX9" s="16" t="s">
        <v>47</v>
      </c>
      <c r="MY9" s="16" t="s">
        <v>48</v>
      </c>
      <c r="MZ9" s="16" t="s">
        <v>49</v>
      </c>
      <c r="NA9" s="16" t="s">
        <v>50</v>
      </c>
      <c r="NB9" s="8" t="s">
        <v>51</v>
      </c>
      <c r="NC9" s="19" t="s">
        <v>52</v>
      </c>
      <c r="ND9" s="19" t="s">
        <v>46</v>
      </c>
      <c r="NE9" s="16" t="s">
        <v>47</v>
      </c>
    </row>
    <row r="10" spans="1:369" ht="15.75" thickBot="1" x14ac:dyDescent="0.3">
      <c r="A10" s="44" t="s">
        <v>0</v>
      </c>
      <c r="B10" s="5" t="s">
        <v>4</v>
      </c>
      <c r="C10" s="5" t="s">
        <v>86</v>
      </c>
      <c r="D10" s="41" t="s">
        <v>58</v>
      </c>
      <c r="E10" s="17">
        <v>1</v>
      </c>
      <c r="F10" s="10">
        <v>2</v>
      </c>
      <c r="G10" s="10">
        <v>3</v>
      </c>
      <c r="H10" s="10">
        <v>4</v>
      </c>
      <c r="I10" s="20">
        <v>5</v>
      </c>
      <c r="J10" s="20">
        <v>6</v>
      </c>
      <c r="K10" s="17">
        <v>7</v>
      </c>
      <c r="L10" s="17">
        <v>8</v>
      </c>
      <c r="M10" s="10">
        <v>9</v>
      </c>
      <c r="N10" s="10">
        <v>10</v>
      </c>
      <c r="O10" s="10">
        <v>11</v>
      </c>
      <c r="P10" s="20">
        <v>12</v>
      </c>
      <c r="Q10" s="20">
        <v>13</v>
      </c>
      <c r="R10" s="17">
        <v>14</v>
      </c>
      <c r="S10" s="17">
        <v>15</v>
      </c>
      <c r="T10" s="10">
        <v>16</v>
      </c>
      <c r="U10" s="10">
        <v>17</v>
      </c>
      <c r="V10" s="10">
        <v>18</v>
      </c>
      <c r="W10" s="20">
        <v>19</v>
      </c>
      <c r="X10" s="20">
        <v>20</v>
      </c>
      <c r="Y10" s="17">
        <v>21</v>
      </c>
      <c r="Z10" s="17">
        <v>22</v>
      </c>
      <c r="AA10" s="10">
        <v>23</v>
      </c>
      <c r="AB10" s="10">
        <v>24</v>
      </c>
      <c r="AC10" s="10">
        <v>25</v>
      </c>
      <c r="AD10" s="20">
        <v>26</v>
      </c>
      <c r="AE10" s="20">
        <v>27</v>
      </c>
      <c r="AF10" s="17">
        <v>28</v>
      </c>
      <c r="AG10" s="17">
        <v>29</v>
      </c>
      <c r="AH10" s="14">
        <v>30</v>
      </c>
      <c r="AI10" s="10">
        <v>1</v>
      </c>
      <c r="AJ10" s="10">
        <v>2</v>
      </c>
      <c r="AK10" s="20">
        <v>3</v>
      </c>
      <c r="AL10" s="20">
        <v>4</v>
      </c>
      <c r="AM10" s="17">
        <v>5</v>
      </c>
      <c r="AN10" s="17">
        <v>6</v>
      </c>
      <c r="AO10" s="10">
        <v>7</v>
      </c>
      <c r="AP10" s="10">
        <v>8</v>
      </c>
      <c r="AQ10" s="10">
        <v>9</v>
      </c>
      <c r="AR10" s="20">
        <v>10</v>
      </c>
      <c r="AS10" s="20">
        <v>11</v>
      </c>
      <c r="AT10" s="17">
        <v>12</v>
      </c>
      <c r="AU10" s="17">
        <v>13</v>
      </c>
      <c r="AV10" s="10">
        <v>14</v>
      </c>
      <c r="AW10" s="10">
        <v>15</v>
      </c>
      <c r="AX10" s="10">
        <v>16</v>
      </c>
      <c r="AY10" s="21">
        <v>17</v>
      </c>
      <c r="AZ10" s="21">
        <v>18</v>
      </c>
      <c r="BA10" s="18">
        <v>19</v>
      </c>
      <c r="BB10" s="18">
        <v>20</v>
      </c>
      <c r="BC10" s="10">
        <v>21</v>
      </c>
      <c r="BD10" s="10">
        <v>22</v>
      </c>
      <c r="BE10" s="10">
        <v>23</v>
      </c>
      <c r="BF10" s="21">
        <v>24</v>
      </c>
      <c r="BG10" s="21">
        <v>25</v>
      </c>
      <c r="BH10" s="17">
        <v>26</v>
      </c>
      <c r="BI10" s="17">
        <v>27</v>
      </c>
      <c r="BJ10" s="10">
        <v>28</v>
      </c>
      <c r="BK10" s="10">
        <v>29</v>
      </c>
      <c r="BL10" s="15">
        <v>30</v>
      </c>
      <c r="BM10" s="25">
        <v>31</v>
      </c>
      <c r="BN10" s="21">
        <v>1</v>
      </c>
      <c r="BO10" s="10">
        <v>2</v>
      </c>
      <c r="BP10" s="10">
        <v>3</v>
      </c>
      <c r="BQ10" s="10">
        <v>4</v>
      </c>
      <c r="BR10" s="17">
        <v>5</v>
      </c>
      <c r="BS10" s="17">
        <v>6</v>
      </c>
      <c r="BT10" s="21">
        <v>7</v>
      </c>
      <c r="BU10" s="21">
        <v>8</v>
      </c>
      <c r="BV10" s="10">
        <v>9</v>
      </c>
      <c r="BW10" s="10">
        <v>10</v>
      </c>
      <c r="BX10" s="10">
        <v>11</v>
      </c>
      <c r="BY10" s="17">
        <v>12</v>
      </c>
      <c r="BZ10" s="17">
        <v>13</v>
      </c>
      <c r="CA10" s="21">
        <v>14</v>
      </c>
      <c r="CB10" s="21">
        <v>15</v>
      </c>
      <c r="CC10" s="10">
        <v>16</v>
      </c>
      <c r="CD10" s="10">
        <v>17</v>
      </c>
      <c r="CE10" s="10">
        <v>18</v>
      </c>
      <c r="CF10" s="17">
        <v>19</v>
      </c>
      <c r="CG10" s="17">
        <v>20</v>
      </c>
      <c r="CH10" s="20">
        <v>21</v>
      </c>
      <c r="CI10" s="20">
        <v>22</v>
      </c>
      <c r="CJ10" s="10">
        <v>23</v>
      </c>
      <c r="CK10" s="10">
        <v>24</v>
      </c>
      <c r="CL10" s="10">
        <v>25</v>
      </c>
      <c r="CM10" s="17">
        <v>26</v>
      </c>
      <c r="CN10" s="17">
        <v>27</v>
      </c>
      <c r="CO10" s="20">
        <v>28</v>
      </c>
      <c r="CP10" s="20">
        <v>29</v>
      </c>
      <c r="CQ10" s="14">
        <v>30</v>
      </c>
      <c r="CR10" s="10">
        <v>1</v>
      </c>
      <c r="CS10" s="10">
        <v>2</v>
      </c>
      <c r="CT10" s="10">
        <v>3</v>
      </c>
      <c r="CU10" s="10">
        <v>4</v>
      </c>
      <c r="CV10" s="11">
        <v>5</v>
      </c>
      <c r="CW10" s="11">
        <v>6</v>
      </c>
      <c r="CX10" s="10">
        <v>7</v>
      </c>
      <c r="CY10" s="10">
        <v>8</v>
      </c>
      <c r="CZ10" s="10">
        <v>9</v>
      </c>
      <c r="DA10" s="10">
        <v>10</v>
      </c>
      <c r="DB10" s="10">
        <v>11</v>
      </c>
      <c r="DC10" s="11">
        <v>12</v>
      </c>
      <c r="DD10" s="11">
        <v>13</v>
      </c>
      <c r="DE10" s="10">
        <v>14</v>
      </c>
      <c r="DF10" s="10">
        <v>15</v>
      </c>
      <c r="DG10" s="10">
        <v>16</v>
      </c>
      <c r="DH10" s="10">
        <v>17</v>
      </c>
      <c r="DI10" s="10">
        <v>18</v>
      </c>
      <c r="DJ10" s="11">
        <v>19</v>
      </c>
      <c r="DK10" s="11">
        <v>20</v>
      </c>
      <c r="DL10" s="10">
        <v>21</v>
      </c>
      <c r="DM10" s="10">
        <v>22</v>
      </c>
      <c r="DN10" s="10">
        <v>23</v>
      </c>
      <c r="DO10" s="10">
        <v>24</v>
      </c>
      <c r="DP10" s="10">
        <v>25</v>
      </c>
      <c r="DQ10" s="11">
        <v>26</v>
      </c>
      <c r="DR10" s="11">
        <v>27</v>
      </c>
      <c r="DS10" s="10">
        <v>28</v>
      </c>
      <c r="DT10" s="10">
        <v>29</v>
      </c>
      <c r="DU10" s="10">
        <v>30</v>
      </c>
      <c r="DV10" s="12">
        <v>31</v>
      </c>
      <c r="DW10" s="17">
        <v>1</v>
      </c>
      <c r="DX10" s="20">
        <v>2</v>
      </c>
      <c r="DY10" s="20">
        <v>3</v>
      </c>
      <c r="DZ10" s="17">
        <v>4</v>
      </c>
      <c r="EA10" s="17">
        <v>5</v>
      </c>
      <c r="EB10" s="17">
        <v>6</v>
      </c>
      <c r="EC10" s="17">
        <v>7</v>
      </c>
      <c r="ED10" s="17">
        <v>8</v>
      </c>
      <c r="EE10" s="20">
        <v>9</v>
      </c>
      <c r="EF10" s="20">
        <v>10</v>
      </c>
      <c r="EG10" s="17">
        <v>11</v>
      </c>
      <c r="EH10" s="17">
        <v>12</v>
      </c>
      <c r="EI10" s="17">
        <v>13</v>
      </c>
      <c r="EJ10" s="17">
        <v>14</v>
      </c>
      <c r="EK10" s="17">
        <v>15</v>
      </c>
      <c r="EL10" s="20">
        <v>16</v>
      </c>
      <c r="EM10" s="20">
        <v>17</v>
      </c>
      <c r="EN10" s="17">
        <v>18</v>
      </c>
      <c r="EO10" s="17">
        <v>19</v>
      </c>
      <c r="EP10" s="17">
        <v>20</v>
      </c>
      <c r="EQ10" s="17">
        <v>21</v>
      </c>
      <c r="ER10" s="17">
        <v>22</v>
      </c>
      <c r="ES10" s="20">
        <v>23</v>
      </c>
      <c r="ET10" s="20">
        <v>24</v>
      </c>
      <c r="EU10" s="17">
        <v>25</v>
      </c>
      <c r="EV10" s="17">
        <v>26</v>
      </c>
      <c r="EW10" s="17">
        <v>27</v>
      </c>
      <c r="EX10" s="17">
        <v>28</v>
      </c>
      <c r="EY10" s="17">
        <v>29</v>
      </c>
      <c r="EZ10" s="20">
        <v>30</v>
      </c>
      <c r="FA10" s="27">
        <v>31</v>
      </c>
      <c r="FB10" s="17">
        <v>1</v>
      </c>
      <c r="FC10" s="17">
        <v>2</v>
      </c>
      <c r="FD10" s="17">
        <v>3</v>
      </c>
      <c r="FE10" s="17">
        <v>4</v>
      </c>
      <c r="FF10" s="17">
        <v>5</v>
      </c>
      <c r="FG10" s="11">
        <v>6</v>
      </c>
      <c r="FH10" s="11">
        <v>7</v>
      </c>
      <c r="FI10" s="17">
        <v>8</v>
      </c>
      <c r="FJ10" s="17">
        <v>9</v>
      </c>
      <c r="FK10" s="17">
        <v>10</v>
      </c>
      <c r="FL10" s="17">
        <v>11</v>
      </c>
      <c r="FM10" s="17">
        <v>12</v>
      </c>
      <c r="FN10" s="11">
        <v>13</v>
      </c>
      <c r="FO10" s="11">
        <v>14</v>
      </c>
      <c r="FP10" s="17">
        <v>15</v>
      </c>
      <c r="FQ10" s="17">
        <v>16</v>
      </c>
      <c r="FR10" s="17">
        <v>17</v>
      </c>
      <c r="FS10" s="17">
        <v>18</v>
      </c>
      <c r="FT10" s="17">
        <v>19</v>
      </c>
      <c r="FU10" s="11">
        <v>20</v>
      </c>
      <c r="FV10" s="11">
        <v>21</v>
      </c>
      <c r="FW10" s="17">
        <v>22</v>
      </c>
      <c r="FX10" s="17">
        <v>23</v>
      </c>
      <c r="FY10" s="17">
        <v>24</v>
      </c>
      <c r="FZ10" s="17">
        <v>25</v>
      </c>
      <c r="GA10" s="17">
        <v>26</v>
      </c>
      <c r="GB10" s="11">
        <v>27</v>
      </c>
      <c r="GC10" s="11">
        <v>28</v>
      </c>
      <c r="GD10" s="17">
        <v>29</v>
      </c>
      <c r="GE10" s="26">
        <v>30</v>
      </c>
      <c r="GF10" s="17">
        <v>1</v>
      </c>
      <c r="GG10" s="17">
        <v>2</v>
      </c>
      <c r="GH10" s="17">
        <v>3</v>
      </c>
      <c r="GI10" s="11">
        <v>4</v>
      </c>
      <c r="GJ10" s="11">
        <v>5</v>
      </c>
      <c r="GK10" s="17">
        <v>6</v>
      </c>
      <c r="GL10" s="17">
        <v>7</v>
      </c>
      <c r="GM10" s="17">
        <v>8</v>
      </c>
      <c r="GN10" s="17">
        <v>9</v>
      </c>
      <c r="GO10" s="17">
        <v>10</v>
      </c>
      <c r="GP10" s="11">
        <v>11</v>
      </c>
      <c r="GQ10" s="11">
        <v>12</v>
      </c>
      <c r="GR10" s="17">
        <v>13</v>
      </c>
      <c r="GS10" s="17">
        <v>14</v>
      </c>
      <c r="GT10" s="17">
        <v>15</v>
      </c>
      <c r="GU10" s="17">
        <v>16</v>
      </c>
      <c r="GV10" s="17">
        <v>17</v>
      </c>
      <c r="GW10" s="11">
        <v>18</v>
      </c>
      <c r="GX10" s="11">
        <v>19</v>
      </c>
      <c r="GY10" s="17">
        <v>20</v>
      </c>
      <c r="GZ10" s="17">
        <v>21</v>
      </c>
      <c r="HA10" s="17">
        <v>22</v>
      </c>
      <c r="HB10" s="17">
        <v>23</v>
      </c>
      <c r="HC10" s="17">
        <v>24</v>
      </c>
      <c r="HD10" s="11">
        <v>25</v>
      </c>
      <c r="HE10" s="11">
        <v>26</v>
      </c>
      <c r="HF10" s="17">
        <v>27</v>
      </c>
      <c r="HG10" s="17">
        <v>28</v>
      </c>
      <c r="HH10" s="17">
        <v>29</v>
      </c>
      <c r="HI10" s="17">
        <v>30</v>
      </c>
      <c r="HJ10" s="26">
        <v>31</v>
      </c>
      <c r="HK10" s="20">
        <v>1</v>
      </c>
      <c r="HL10" s="20">
        <v>2</v>
      </c>
      <c r="HM10" s="17">
        <v>3</v>
      </c>
      <c r="HN10" s="17">
        <v>4</v>
      </c>
      <c r="HO10" s="17">
        <v>5</v>
      </c>
      <c r="HP10" s="17">
        <v>6</v>
      </c>
      <c r="HQ10" s="17">
        <v>7</v>
      </c>
      <c r="HR10" s="20">
        <v>8</v>
      </c>
      <c r="HS10" s="20">
        <v>9</v>
      </c>
      <c r="HT10" s="17">
        <v>10</v>
      </c>
      <c r="HU10" s="17">
        <v>11</v>
      </c>
      <c r="HV10" s="17">
        <v>12</v>
      </c>
      <c r="HW10" s="17">
        <v>13</v>
      </c>
      <c r="HX10" s="17">
        <v>14</v>
      </c>
      <c r="HY10" s="20">
        <v>15</v>
      </c>
      <c r="HZ10" s="20">
        <v>16</v>
      </c>
      <c r="IA10" s="17">
        <v>17</v>
      </c>
      <c r="IB10" s="17">
        <v>18</v>
      </c>
      <c r="IC10" s="17">
        <v>19</v>
      </c>
      <c r="ID10" s="17">
        <v>20</v>
      </c>
      <c r="IE10" s="17">
        <v>21</v>
      </c>
      <c r="IF10" s="20">
        <v>22</v>
      </c>
      <c r="IG10" s="20">
        <v>23</v>
      </c>
      <c r="IH10" s="17">
        <v>24</v>
      </c>
      <c r="II10" s="17">
        <v>25</v>
      </c>
      <c r="IJ10" s="17">
        <v>26</v>
      </c>
      <c r="IK10" s="17">
        <v>27</v>
      </c>
      <c r="IL10" s="17">
        <v>28</v>
      </c>
      <c r="IM10" s="20">
        <v>29</v>
      </c>
      <c r="IN10" s="32">
        <v>30</v>
      </c>
      <c r="IO10" s="17">
        <v>1</v>
      </c>
      <c r="IP10" s="17">
        <v>2</v>
      </c>
      <c r="IQ10" s="17">
        <v>3</v>
      </c>
      <c r="IR10" s="17">
        <v>4</v>
      </c>
      <c r="IS10" s="17">
        <v>5</v>
      </c>
      <c r="IT10" s="20">
        <v>6</v>
      </c>
      <c r="IU10" s="20">
        <v>7</v>
      </c>
      <c r="IV10" s="17">
        <v>8</v>
      </c>
      <c r="IW10" s="17">
        <v>9</v>
      </c>
      <c r="IX10" s="17">
        <v>10</v>
      </c>
      <c r="IY10" s="17">
        <v>11</v>
      </c>
      <c r="IZ10" s="17">
        <v>12</v>
      </c>
      <c r="JA10" s="20">
        <v>13</v>
      </c>
      <c r="JB10" s="20">
        <v>14</v>
      </c>
      <c r="JC10" s="17">
        <v>15</v>
      </c>
      <c r="JD10" s="17">
        <v>16</v>
      </c>
      <c r="JE10" s="17">
        <v>17</v>
      </c>
      <c r="JF10" s="17">
        <v>18</v>
      </c>
      <c r="JG10" s="17">
        <v>19</v>
      </c>
      <c r="JH10" s="20">
        <v>20</v>
      </c>
      <c r="JI10" s="20">
        <v>21</v>
      </c>
      <c r="JJ10" s="17">
        <v>22</v>
      </c>
      <c r="JK10" s="17">
        <v>23</v>
      </c>
      <c r="JL10" s="17">
        <v>24</v>
      </c>
      <c r="JM10" s="17">
        <v>25</v>
      </c>
      <c r="JN10" s="17">
        <v>26</v>
      </c>
      <c r="JO10" s="20">
        <v>27</v>
      </c>
      <c r="JP10" s="20">
        <v>28</v>
      </c>
      <c r="JQ10" s="17">
        <v>29</v>
      </c>
      <c r="JR10" s="33">
        <v>30</v>
      </c>
      <c r="JS10" s="34">
        <v>31</v>
      </c>
      <c r="JT10" s="17">
        <v>1</v>
      </c>
      <c r="JU10" s="17">
        <v>2</v>
      </c>
      <c r="JV10" s="17">
        <v>3</v>
      </c>
      <c r="JW10" s="20">
        <v>4</v>
      </c>
      <c r="JX10" s="20">
        <v>5</v>
      </c>
      <c r="JY10" s="17">
        <v>6</v>
      </c>
      <c r="JZ10" s="10">
        <v>7</v>
      </c>
      <c r="KA10" s="17">
        <v>8</v>
      </c>
      <c r="KB10" s="17">
        <v>9</v>
      </c>
      <c r="KC10" s="17">
        <v>10</v>
      </c>
      <c r="KD10" s="20">
        <v>11</v>
      </c>
      <c r="KE10" s="20">
        <v>12</v>
      </c>
      <c r="KF10" s="17">
        <v>13</v>
      </c>
      <c r="KG10" s="10">
        <v>14</v>
      </c>
      <c r="KH10" s="17">
        <v>15</v>
      </c>
      <c r="KI10" s="17">
        <v>16</v>
      </c>
      <c r="KJ10" s="17">
        <v>17</v>
      </c>
      <c r="KK10" s="20">
        <v>18</v>
      </c>
      <c r="KL10" s="20">
        <v>19</v>
      </c>
      <c r="KM10" s="18">
        <v>20</v>
      </c>
      <c r="KN10" s="10">
        <v>21</v>
      </c>
      <c r="KO10" s="17">
        <v>22</v>
      </c>
      <c r="KP10" s="17">
        <v>23</v>
      </c>
      <c r="KQ10" s="17">
        <v>24</v>
      </c>
      <c r="KR10" s="20">
        <v>25</v>
      </c>
      <c r="KS10" s="20">
        <v>26</v>
      </c>
      <c r="KT10" s="17">
        <v>27</v>
      </c>
      <c r="KU10" s="10">
        <v>28</v>
      </c>
      <c r="KV10" s="17">
        <v>29</v>
      </c>
      <c r="KW10" s="42">
        <v>30</v>
      </c>
      <c r="KX10" s="23">
        <v>31</v>
      </c>
      <c r="KY10" s="39">
        <v>1</v>
      </c>
      <c r="KZ10" s="39">
        <v>2</v>
      </c>
      <c r="LA10" s="40">
        <v>3</v>
      </c>
      <c r="LB10" s="40">
        <v>4</v>
      </c>
      <c r="LC10" s="34">
        <v>5</v>
      </c>
      <c r="LD10" s="34">
        <v>6</v>
      </c>
      <c r="LE10" s="34">
        <v>7</v>
      </c>
      <c r="LF10" s="39">
        <v>8</v>
      </c>
      <c r="LG10" s="39">
        <v>9</v>
      </c>
      <c r="LH10" s="40">
        <v>10</v>
      </c>
      <c r="LI10" s="40">
        <v>11</v>
      </c>
      <c r="LJ10" s="34">
        <v>12</v>
      </c>
      <c r="LK10" s="34">
        <v>13</v>
      </c>
      <c r="LL10" s="34">
        <v>14</v>
      </c>
      <c r="LM10" s="39">
        <v>15</v>
      </c>
      <c r="LN10" s="39">
        <v>16</v>
      </c>
      <c r="LO10" s="40">
        <v>17</v>
      </c>
      <c r="LP10" s="40">
        <v>18</v>
      </c>
      <c r="LQ10" s="34">
        <v>19</v>
      </c>
      <c r="LR10" s="34">
        <v>20</v>
      </c>
      <c r="LS10" s="34">
        <v>21</v>
      </c>
      <c r="LT10" s="39">
        <v>22</v>
      </c>
      <c r="LU10" s="39">
        <v>23</v>
      </c>
      <c r="LV10" s="40">
        <v>24</v>
      </c>
      <c r="LW10" s="40">
        <v>25</v>
      </c>
      <c r="LX10" s="34">
        <v>26</v>
      </c>
      <c r="LY10" s="34">
        <v>27</v>
      </c>
      <c r="LZ10" s="34">
        <v>28</v>
      </c>
      <c r="MA10" s="20">
        <v>1</v>
      </c>
      <c r="MB10" s="20">
        <v>2</v>
      </c>
      <c r="MC10" s="17">
        <v>3</v>
      </c>
      <c r="MD10" s="17">
        <v>4</v>
      </c>
      <c r="ME10" s="17">
        <v>5</v>
      </c>
      <c r="MF10" s="17">
        <v>6</v>
      </c>
      <c r="MG10" s="10">
        <v>7</v>
      </c>
      <c r="MH10" s="20">
        <v>8</v>
      </c>
      <c r="MI10" s="20">
        <v>9</v>
      </c>
      <c r="MJ10" s="17">
        <v>10</v>
      </c>
      <c r="MK10" s="17">
        <v>11</v>
      </c>
      <c r="ML10" s="17">
        <v>12</v>
      </c>
      <c r="MM10" s="17">
        <v>13</v>
      </c>
      <c r="MN10" s="10">
        <v>14</v>
      </c>
      <c r="MO10" s="20">
        <v>15</v>
      </c>
      <c r="MP10" s="20">
        <v>16</v>
      </c>
      <c r="MQ10" s="17">
        <v>17</v>
      </c>
      <c r="MR10" s="17">
        <v>18</v>
      </c>
      <c r="MS10" s="18">
        <v>19</v>
      </c>
      <c r="MT10" s="18">
        <v>20</v>
      </c>
      <c r="MU10" s="10">
        <v>21</v>
      </c>
      <c r="MV10" s="20">
        <v>22</v>
      </c>
      <c r="MW10" s="20">
        <v>23</v>
      </c>
      <c r="MX10" s="17">
        <v>24</v>
      </c>
      <c r="MY10" s="17">
        <v>25</v>
      </c>
      <c r="MZ10" s="17">
        <v>26</v>
      </c>
      <c r="NA10" s="17">
        <v>27</v>
      </c>
      <c r="NB10" s="10">
        <v>28</v>
      </c>
      <c r="NC10" s="20">
        <v>29</v>
      </c>
      <c r="ND10" s="35">
        <v>30</v>
      </c>
      <c r="NE10" s="23">
        <v>31</v>
      </c>
    </row>
    <row r="11" spans="1:369" x14ac:dyDescent="0.25">
      <c r="A11" s="57" t="s">
        <v>148</v>
      </c>
      <c r="B11" s="57" t="s">
        <v>181</v>
      </c>
      <c r="C11" s="57" t="s">
        <v>161</v>
      </c>
      <c r="D11" s="45"/>
    </row>
    <row r="12" spans="1:369" x14ac:dyDescent="0.25">
      <c r="A12" s="57" t="s">
        <v>149</v>
      </c>
      <c r="B12" s="57" t="s">
        <v>39</v>
      </c>
      <c r="C12" s="57" t="s">
        <v>162</v>
      </c>
      <c r="D12" s="45"/>
    </row>
    <row r="13" spans="1:369" x14ac:dyDescent="0.25">
      <c r="A13" s="57" t="s">
        <v>150</v>
      </c>
      <c r="B13" s="57" t="s">
        <v>158</v>
      </c>
      <c r="C13" s="57" t="s">
        <v>163</v>
      </c>
      <c r="D13" s="45"/>
    </row>
    <row r="14" spans="1:369" x14ac:dyDescent="0.25">
      <c r="A14" s="57" t="s">
        <v>40</v>
      </c>
      <c r="B14" s="57" t="s">
        <v>36</v>
      </c>
      <c r="C14" s="57" t="s">
        <v>164</v>
      </c>
      <c r="D14" s="45"/>
    </row>
    <row r="15" spans="1:369" x14ac:dyDescent="0.25">
      <c r="A15" s="57" t="s">
        <v>106</v>
      </c>
      <c r="B15" s="57" t="s">
        <v>36</v>
      </c>
      <c r="C15" s="57" t="s">
        <v>107</v>
      </c>
      <c r="D15" s="45"/>
    </row>
    <row r="16" spans="1:369" x14ac:dyDescent="0.25">
      <c r="A16" s="57" t="s">
        <v>151</v>
      </c>
      <c r="B16" s="57" t="s">
        <v>36</v>
      </c>
      <c r="C16" s="57" t="s">
        <v>165</v>
      </c>
      <c r="D16" s="45"/>
    </row>
    <row r="17" spans="1:4" x14ac:dyDescent="0.25">
      <c r="A17" s="57" t="s">
        <v>38</v>
      </c>
      <c r="B17" s="57" t="s">
        <v>36</v>
      </c>
      <c r="C17" s="57" t="s">
        <v>166</v>
      </c>
      <c r="D17" s="45"/>
    </row>
    <row r="18" spans="1:4" x14ac:dyDescent="0.25">
      <c r="A18" s="57" t="s">
        <v>39</v>
      </c>
      <c r="B18" s="57" t="s">
        <v>37</v>
      </c>
      <c r="C18" s="57" t="s">
        <v>167</v>
      </c>
      <c r="D18" s="45"/>
    </row>
    <row r="19" spans="1:4" x14ac:dyDescent="0.25">
      <c r="A19" s="57" t="s">
        <v>152</v>
      </c>
      <c r="B19" s="57" t="s">
        <v>39</v>
      </c>
      <c r="C19" s="57" t="s">
        <v>168</v>
      </c>
      <c r="D19" s="45"/>
    </row>
    <row r="20" spans="1:4" x14ac:dyDescent="0.25">
      <c r="A20" s="57" t="s">
        <v>153</v>
      </c>
      <c r="B20" s="57" t="s">
        <v>158</v>
      </c>
      <c r="C20" s="57" t="s">
        <v>169</v>
      </c>
      <c r="D20" s="45"/>
    </row>
    <row r="21" spans="1:4" x14ac:dyDescent="0.25">
      <c r="A21" s="57" t="s">
        <v>154</v>
      </c>
      <c r="B21" s="57" t="s">
        <v>36</v>
      </c>
      <c r="C21" s="57" t="s">
        <v>170</v>
      </c>
      <c r="D21" s="45"/>
    </row>
    <row r="22" spans="1:4" x14ac:dyDescent="0.25">
      <c r="A22" s="57" t="s">
        <v>145</v>
      </c>
      <c r="B22" s="57" t="s">
        <v>39</v>
      </c>
      <c r="C22" s="57" t="s">
        <v>146</v>
      </c>
      <c r="D22" s="45"/>
    </row>
    <row r="23" spans="1:4" x14ac:dyDescent="0.25">
      <c r="A23" s="57" t="s">
        <v>136</v>
      </c>
      <c r="B23" s="57" t="s">
        <v>38</v>
      </c>
      <c r="C23" s="57" t="s">
        <v>133</v>
      </c>
      <c r="D23" s="45"/>
    </row>
    <row r="24" spans="1:4" x14ac:dyDescent="0.25">
      <c r="A24" s="57" t="s">
        <v>155</v>
      </c>
      <c r="B24" s="57" t="s">
        <v>158</v>
      </c>
      <c r="C24" s="57" t="s">
        <v>171</v>
      </c>
      <c r="D24" s="45"/>
    </row>
    <row r="25" spans="1:4" x14ac:dyDescent="0.25">
      <c r="A25" s="57" t="s">
        <v>41</v>
      </c>
      <c r="B25" s="57" t="s">
        <v>38</v>
      </c>
      <c r="C25" s="57" t="s">
        <v>172</v>
      </c>
      <c r="D25" s="45"/>
    </row>
    <row r="26" spans="1:4" x14ac:dyDescent="0.25">
      <c r="A26" s="57" t="s">
        <v>156</v>
      </c>
      <c r="B26" s="57" t="s">
        <v>39</v>
      </c>
      <c r="C26" s="57" t="s">
        <v>173</v>
      </c>
      <c r="D26" s="45"/>
    </row>
    <row r="27" spans="1:4" x14ac:dyDescent="0.25">
      <c r="A27" s="57" t="s">
        <v>157</v>
      </c>
      <c r="B27" s="57" t="s">
        <v>38</v>
      </c>
      <c r="C27" s="57" t="s">
        <v>174</v>
      </c>
      <c r="D27" s="45"/>
    </row>
    <row r="28" spans="1:4" x14ac:dyDescent="0.25">
      <c r="A28" s="57" t="s">
        <v>158</v>
      </c>
      <c r="B28" s="57" t="s">
        <v>36</v>
      </c>
      <c r="C28" s="57" t="s">
        <v>175</v>
      </c>
      <c r="D28" s="45"/>
    </row>
    <row r="29" spans="1:4" x14ac:dyDescent="0.25">
      <c r="A29" s="57" t="s">
        <v>36</v>
      </c>
      <c r="B29" s="57" t="s">
        <v>37</v>
      </c>
      <c r="C29" s="57" t="s">
        <v>176</v>
      </c>
      <c r="D29" s="45"/>
    </row>
    <row r="30" spans="1:4" x14ac:dyDescent="0.25">
      <c r="A30" s="57" t="s">
        <v>159</v>
      </c>
      <c r="B30" s="57" t="s">
        <v>39</v>
      </c>
      <c r="C30" s="57" t="s">
        <v>177</v>
      </c>
      <c r="D30" s="45"/>
    </row>
    <row r="31" spans="1:4" x14ac:dyDescent="0.25">
      <c r="A31" s="57" t="s">
        <v>160</v>
      </c>
      <c r="B31" s="57" t="s">
        <v>39</v>
      </c>
      <c r="C31" s="57" t="s">
        <v>178</v>
      </c>
      <c r="D31" s="45"/>
    </row>
    <row r="32" spans="1:4" x14ac:dyDescent="0.25">
      <c r="A32" s="57" t="s">
        <v>37</v>
      </c>
      <c r="B32" s="57" t="s">
        <v>182</v>
      </c>
      <c r="C32" s="57" t="s">
        <v>179</v>
      </c>
      <c r="D32" s="45"/>
    </row>
    <row r="33" spans="4:4" x14ac:dyDescent="0.25">
      <c r="D33" s="45"/>
    </row>
    <row r="34" spans="4:4" x14ac:dyDescent="0.25">
      <c r="D34" s="45"/>
    </row>
    <row r="35" spans="4:4" x14ac:dyDescent="0.25">
      <c r="D35" s="45"/>
    </row>
    <row r="36" spans="4:4" x14ac:dyDescent="0.25">
      <c r="D36" s="45"/>
    </row>
    <row r="37" spans="4:4" x14ac:dyDescent="0.25">
      <c r="D37" s="45"/>
    </row>
    <row r="38" spans="4:4" x14ac:dyDescent="0.25">
      <c r="D38" s="45"/>
    </row>
    <row r="39" spans="4:4" x14ac:dyDescent="0.25">
      <c r="D39" s="45"/>
    </row>
    <row r="40" spans="4:4" x14ac:dyDescent="0.25">
      <c r="D40" s="45"/>
    </row>
    <row r="41" spans="4:4" x14ac:dyDescent="0.25">
      <c r="D41" s="45"/>
    </row>
    <row r="42" spans="4:4" x14ac:dyDescent="0.25">
      <c r="D42" s="45"/>
    </row>
    <row r="43" spans="4:4" x14ac:dyDescent="0.25">
      <c r="D43" s="45"/>
    </row>
    <row r="44" spans="4:4" x14ac:dyDescent="0.25">
      <c r="D44" s="45"/>
    </row>
    <row r="45" spans="4:4" x14ac:dyDescent="0.25">
      <c r="D45" s="45"/>
    </row>
    <row r="46" spans="4:4" x14ac:dyDescent="0.25">
      <c r="D46" s="45"/>
    </row>
    <row r="47" spans="4:4" x14ac:dyDescent="0.25">
      <c r="D47" s="45"/>
    </row>
    <row r="48" spans="4:4" x14ac:dyDescent="0.25">
      <c r="D48" s="45"/>
    </row>
    <row r="49" spans="4:4" x14ac:dyDescent="0.25">
      <c r="D49" s="45"/>
    </row>
    <row r="50" spans="4:4" x14ac:dyDescent="0.25">
      <c r="D50" s="45"/>
    </row>
    <row r="51" spans="4:4" x14ac:dyDescent="0.25">
      <c r="D51" s="45"/>
    </row>
    <row r="52" spans="4:4" x14ac:dyDescent="0.25">
      <c r="D52" s="45"/>
    </row>
    <row r="53" spans="4:4" x14ac:dyDescent="0.25">
      <c r="D53" s="45"/>
    </row>
    <row r="54" spans="4:4" x14ac:dyDescent="0.25">
      <c r="D54" s="45"/>
    </row>
    <row r="55" spans="4:4" x14ac:dyDescent="0.25">
      <c r="D55" s="45"/>
    </row>
    <row r="56" spans="4:4" x14ac:dyDescent="0.25">
      <c r="D56" s="45"/>
    </row>
    <row r="57" spans="4:4" x14ac:dyDescent="0.25">
      <c r="D57" s="45"/>
    </row>
    <row r="58" spans="4:4" x14ac:dyDescent="0.25">
      <c r="D58" s="45"/>
    </row>
    <row r="59" spans="4:4" x14ac:dyDescent="0.25">
      <c r="D59" s="45"/>
    </row>
    <row r="60" spans="4:4" x14ac:dyDescent="0.25">
      <c r="D60" s="45"/>
    </row>
    <row r="61" spans="4:4" x14ac:dyDescent="0.25">
      <c r="D61" s="45"/>
    </row>
    <row r="62" spans="4:4" x14ac:dyDescent="0.25">
      <c r="D62" s="45"/>
    </row>
    <row r="63" spans="4:4" x14ac:dyDescent="0.25">
      <c r="D63" s="45"/>
    </row>
    <row r="64" spans="4:4" x14ac:dyDescent="0.25">
      <c r="D64" s="45"/>
    </row>
    <row r="65" spans="4:4" x14ac:dyDescent="0.25">
      <c r="D65" s="45"/>
    </row>
    <row r="66" spans="4:4" x14ac:dyDescent="0.25">
      <c r="D66" s="45"/>
    </row>
    <row r="67" spans="4:4" x14ac:dyDescent="0.25">
      <c r="D67" s="45"/>
    </row>
    <row r="68" spans="4:4" x14ac:dyDescent="0.25">
      <c r="D68" s="45"/>
    </row>
    <row r="69" spans="4:4" x14ac:dyDescent="0.25">
      <c r="D69" s="45"/>
    </row>
    <row r="70" spans="4:4" x14ac:dyDescent="0.25">
      <c r="D70" s="45"/>
    </row>
    <row r="71" spans="4:4" x14ac:dyDescent="0.25">
      <c r="D71" s="45"/>
    </row>
    <row r="72" spans="4:4" x14ac:dyDescent="0.25">
      <c r="D72" s="45"/>
    </row>
    <row r="73" spans="4:4" x14ac:dyDescent="0.25">
      <c r="D73" s="45"/>
    </row>
    <row r="74" spans="4:4" x14ac:dyDescent="0.25">
      <c r="D74" s="45"/>
    </row>
    <row r="75" spans="4:4" x14ac:dyDescent="0.25">
      <c r="D75" s="45"/>
    </row>
    <row r="76" spans="4:4" x14ac:dyDescent="0.25">
      <c r="D76" s="45"/>
    </row>
    <row r="77" spans="4:4" x14ac:dyDescent="0.25">
      <c r="D77" s="45"/>
    </row>
    <row r="78" spans="4:4" x14ac:dyDescent="0.25">
      <c r="D78" s="45"/>
    </row>
    <row r="79" spans="4:4" x14ac:dyDescent="0.25">
      <c r="D79" s="45"/>
    </row>
    <row r="80" spans="4:4" x14ac:dyDescent="0.25">
      <c r="D80" s="45"/>
    </row>
    <row r="81" spans="4:4" x14ac:dyDescent="0.25">
      <c r="D81" s="45"/>
    </row>
    <row r="82" spans="4:4" x14ac:dyDescent="0.25">
      <c r="D82" s="45"/>
    </row>
    <row r="83" spans="4:4" x14ac:dyDescent="0.25">
      <c r="D83" s="45"/>
    </row>
    <row r="84" spans="4:4" x14ac:dyDescent="0.25">
      <c r="D84" s="45"/>
    </row>
    <row r="85" spans="4:4" x14ac:dyDescent="0.25">
      <c r="D85" s="45"/>
    </row>
    <row r="86" spans="4:4" x14ac:dyDescent="0.25">
      <c r="D86" s="45"/>
    </row>
    <row r="87" spans="4:4" x14ac:dyDescent="0.25">
      <c r="D87" s="45"/>
    </row>
    <row r="88" spans="4:4" x14ac:dyDescent="0.25">
      <c r="D88" s="45"/>
    </row>
    <row r="89" spans="4:4" x14ac:dyDescent="0.25">
      <c r="D89" s="45"/>
    </row>
    <row r="90" spans="4:4" x14ac:dyDescent="0.25">
      <c r="D90" s="45"/>
    </row>
    <row r="91" spans="4:4" x14ac:dyDescent="0.25">
      <c r="D91" s="45"/>
    </row>
    <row r="92" spans="4:4" x14ac:dyDescent="0.25">
      <c r="D92" s="45"/>
    </row>
    <row r="93" spans="4:4" x14ac:dyDescent="0.25">
      <c r="D93" s="45"/>
    </row>
    <row r="94" spans="4:4" x14ac:dyDescent="0.25">
      <c r="D94" s="45"/>
    </row>
    <row r="95" spans="4:4" x14ac:dyDescent="0.25">
      <c r="D95" s="45"/>
    </row>
    <row r="96" spans="4:4" x14ac:dyDescent="0.25">
      <c r="D96" s="45"/>
    </row>
    <row r="97" spans="4:4" x14ac:dyDescent="0.25">
      <c r="D97" s="45"/>
    </row>
    <row r="98" spans="4:4" x14ac:dyDescent="0.25">
      <c r="D98" s="45"/>
    </row>
    <row r="99" spans="4:4" x14ac:dyDescent="0.25">
      <c r="D99" s="45"/>
    </row>
    <row r="100" spans="4:4" x14ac:dyDescent="0.25">
      <c r="D100" s="45"/>
    </row>
    <row r="101" spans="4:4" x14ac:dyDescent="0.25">
      <c r="D101" s="45"/>
    </row>
    <row r="102" spans="4:4" x14ac:dyDescent="0.25">
      <c r="D102" s="45"/>
    </row>
    <row r="103" spans="4:4" x14ac:dyDescent="0.25">
      <c r="D103" s="45"/>
    </row>
    <row r="104" spans="4:4" x14ac:dyDescent="0.25">
      <c r="D104" s="45"/>
    </row>
    <row r="105" spans="4:4" x14ac:dyDescent="0.25">
      <c r="D105" s="45"/>
    </row>
    <row r="106" spans="4:4" x14ac:dyDescent="0.25">
      <c r="D106" s="45"/>
    </row>
    <row r="107" spans="4:4" x14ac:dyDescent="0.25">
      <c r="D107" s="45"/>
    </row>
    <row r="108" spans="4:4" x14ac:dyDescent="0.25">
      <c r="D108" s="45"/>
    </row>
    <row r="109" spans="4:4" x14ac:dyDescent="0.25">
      <c r="D109" s="45"/>
    </row>
    <row r="110" spans="4:4" x14ac:dyDescent="0.25">
      <c r="D110" s="45"/>
    </row>
    <row r="111" spans="4:4" x14ac:dyDescent="0.25">
      <c r="D111" s="45"/>
    </row>
    <row r="112" spans="4:4" x14ac:dyDescent="0.25">
      <c r="D112" s="45"/>
    </row>
    <row r="113" spans="4:4" x14ac:dyDescent="0.25">
      <c r="D113" s="45"/>
    </row>
    <row r="114" spans="4:4" x14ac:dyDescent="0.25">
      <c r="D114" s="45"/>
    </row>
    <row r="115" spans="4:4" x14ac:dyDescent="0.25">
      <c r="D115" s="45"/>
    </row>
    <row r="116" spans="4:4" x14ac:dyDescent="0.25">
      <c r="D116" s="45"/>
    </row>
    <row r="117" spans="4:4" x14ac:dyDescent="0.25">
      <c r="D117" s="45"/>
    </row>
    <row r="118" spans="4:4" x14ac:dyDescent="0.25">
      <c r="D118" s="45"/>
    </row>
    <row r="119" spans="4:4" x14ac:dyDescent="0.25">
      <c r="D119" s="45"/>
    </row>
    <row r="120" spans="4:4" x14ac:dyDescent="0.25">
      <c r="D120" s="45"/>
    </row>
    <row r="121" spans="4:4" x14ac:dyDescent="0.25">
      <c r="D121" s="45"/>
    </row>
    <row r="122" spans="4:4" x14ac:dyDescent="0.25">
      <c r="D122" s="45"/>
    </row>
    <row r="123" spans="4:4" x14ac:dyDescent="0.25">
      <c r="D123" s="45"/>
    </row>
    <row r="124" spans="4:4" x14ac:dyDescent="0.25">
      <c r="D124" s="45"/>
    </row>
    <row r="125" spans="4:4" x14ac:dyDescent="0.25">
      <c r="D125" s="45"/>
    </row>
    <row r="126" spans="4:4" x14ac:dyDescent="0.25">
      <c r="D126" s="45"/>
    </row>
    <row r="127" spans="4:4" x14ac:dyDescent="0.25">
      <c r="D127" s="45"/>
    </row>
    <row r="128" spans="4:4" x14ac:dyDescent="0.25">
      <c r="D128" s="45"/>
    </row>
    <row r="129" spans="4:4" x14ac:dyDescent="0.25">
      <c r="D129" s="45"/>
    </row>
    <row r="130" spans="4:4" x14ac:dyDescent="0.25">
      <c r="D130" s="45"/>
    </row>
    <row r="131" spans="4:4" x14ac:dyDescent="0.25">
      <c r="D131" s="45"/>
    </row>
    <row r="132" spans="4:4" x14ac:dyDescent="0.25">
      <c r="D132" s="45"/>
    </row>
    <row r="133" spans="4:4" x14ac:dyDescent="0.25">
      <c r="D133" s="45"/>
    </row>
    <row r="134" spans="4:4" x14ac:dyDescent="0.25">
      <c r="D134" s="45"/>
    </row>
    <row r="135" spans="4:4" x14ac:dyDescent="0.25">
      <c r="D135" s="45"/>
    </row>
    <row r="136" spans="4:4" x14ac:dyDescent="0.25">
      <c r="D136" s="45"/>
    </row>
    <row r="137" spans="4:4" x14ac:dyDescent="0.25">
      <c r="D137" s="45"/>
    </row>
    <row r="138" spans="4:4" x14ac:dyDescent="0.25">
      <c r="D138" s="45"/>
    </row>
    <row r="139" spans="4:4" x14ac:dyDescent="0.25">
      <c r="D139" s="45"/>
    </row>
    <row r="140" spans="4:4" x14ac:dyDescent="0.25">
      <c r="D140" s="45"/>
    </row>
    <row r="141" spans="4:4" x14ac:dyDescent="0.25">
      <c r="D141" s="45"/>
    </row>
    <row r="142" spans="4:4" x14ac:dyDescent="0.25">
      <c r="D142" s="45"/>
    </row>
    <row r="143" spans="4:4" x14ac:dyDescent="0.25">
      <c r="D143" s="45"/>
    </row>
    <row r="144" spans="4:4" x14ac:dyDescent="0.25">
      <c r="D144" s="45"/>
    </row>
    <row r="145" spans="4:4" x14ac:dyDescent="0.25">
      <c r="D145" s="45"/>
    </row>
    <row r="146" spans="4:4" x14ac:dyDescent="0.25">
      <c r="D146" s="45"/>
    </row>
    <row r="147" spans="4:4" x14ac:dyDescent="0.25">
      <c r="D147" s="45"/>
    </row>
    <row r="148" spans="4:4" x14ac:dyDescent="0.25">
      <c r="D148" s="45"/>
    </row>
    <row r="149" spans="4:4" x14ac:dyDescent="0.25">
      <c r="D149" s="45"/>
    </row>
    <row r="150" spans="4:4" x14ac:dyDescent="0.25">
      <c r="D150" s="45"/>
    </row>
    <row r="151" spans="4:4" x14ac:dyDescent="0.25">
      <c r="D151" s="45"/>
    </row>
    <row r="152" spans="4:4" x14ac:dyDescent="0.25">
      <c r="D152" s="45"/>
    </row>
    <row r="153" spans="4:4" x14ac:dyDescent="0.25">
      <c r="D153" s="45"/>
    </row>
    <row r="154" spans="4:4" x14ac:dyDescent="0.25">
      <c r="D154" s="45"/>
    </row>
    <row r="155" spans="4:4" x14ac:dyDescent="0.25">
      <c r="D155" s="45"/>
    </row>
    <row r="156" spans="4:4" x14ac:dyDescent="0.25">
      <c r="D156" s="45"/>
    </row>
    <row r="157" spans="4:4" x14ac:dyDescent="0.25">
      <c r="D157" s="45"/>
    </row>
    <row r="158" spans="4:4" x14ac:dyDescent="0.25">
      <c r="D158" s="45"/>
    </row>
    <row r="159" spans="4:4" x14ac:dyDescent="0.25">
      <c r="D159" s="45"/>
    </row>
    <row r="160" spans="4:4" x14ac:dyDescent="0.25">
      <c r="D160" s="45"/>
    </row>
    <row r="161" spans="4:4" x14ac:dyDescent="0.25">
      <c r="D161" s="45"/>
    </row>
    <row r="162" spans="4:4" x14ac:dyDescent="0.25">
      <c r="D162" s="45"/>
    </row>
    <row r="163" spans="4:4" x14ac:dyDescent="0.25">
      <c r="D163" s="45"/>
    </row>
    <row r="164" spans="4:4" x14ac:dyDescent="0.25">
      <c r="D164" s="45"/>
    </row>
    <row r="165" spans="4:4" x14ac:dyDescent="0.25">
      <c r="D165" s="45"/>
    </row>
    <row r="166" spans="4:4" x14ac:dyDescent="0.25">
      <c r="D166" s="45"/>
    </row>
    <row r="167" spans="4:4" x14ac:dyDescent="0.25">
      <c r="D167" s="45"/>
    </row>
    <row r="168" spans="4:4" x14ac:dyDescent="0.25">
      <c r="D168" s="45"/>
    </row>
    <row r="169" spans="4:4" x14ac:dyDescent="0.25">
      <c r="D169" s="45"/>
    </row>
    <row r="170" spans="4:4" x14ac:dyDescent="0.25">
      <c r="D170" s="45"/>
    </row>
    <row r="171" spans="4:4" x14ac:dyDescent="0.25">
      <c r="D171" s="45"/>
    </row>
    <row r="172" spans="4:4" x14ac:dyDescent="0.25">
      <c r="D172" s="45"/>
    </row>
    <row r="173" spans="4:4" x14ac:dyDescent="0.25">
      <c r="D173" s="45"/>
    </row>
    <row r="174" spans="4:4" x14ac:dyDescent="0.25">
      <c r="D174" s="45"/>
    </row>
    <row r="175" spans="4:4" x14ac:dyDescent="0.25">
      <c r="D175" s="45"/>
    </row>
    <row r="176" spans="4:4" x14ac:dyDescent="0.25">
      <c r="D176" s="45"/>
    </row>
    <row r="177" spans="4:4" x14ac:dyDescent="0.25">
      <c r="D177" s="45"/>
    </row>
    <row r="178" spans="4:4" x14ac:dyDescent="0.25">
      <c r="D178" s="45"/>
    </row>
    <row r="179" spans="4:4" x14ac:dyDescent="0.25">
      <c r="D179" s="45"/>
    </row>
    <row r="180" spans="4:4" x14ac:dyDescent="0.25">
      <c r="D180" s="45"/>
    </row>
    <row r="181" spans="4:4" x14ac:dyDescent="0.25">
      <c r="D181" s="45"/>
    </row>
    <row r="182" spans="4:4" x14ac:dyDescent="0.25">
      <c r="D182" s="45"/>
    </row>
    <row r="183" spans="4:4" x14ac:dyDescent="0.25">
      <c r="D183" s="45"/>
    </row>
    <row r="184" spans="4:4" x14ac:dyDescent="0.25">
      <c r="D184" s="45"/>
    </row>
    <row r="185" spans="4:4" x14ac:dyDescent="0.25">
      <c r="D185" s="45"/>
    </row>
    <row r="186" spans="4:4" x14ac:dyDescent="0.25">
      <c r="D186" s="45"/>
    </row>
    <row r="187" spans="4:4" x14ac:dyDescent="0.25">
      <c r="D187" s="45"/>
    </row>
    <row r="188" spans="4:4" x14ac:dyDescent="0.25">
      <c r="D188" s="45"/>
    </row>
    <row r="189" spans="4:4" x14ac:dyDescent="0.25">
      <c r="D189" s="45"/>
    </row>
    <row r="190" spans="4:4" x14ac:dyDescent="0.25">
      <c r="D190" s="45"/>
    </row>
    <row r="191" spans="4:4" x14ac:dyDescent="0.25">
      <c r="D191" s="45"/>
    </row>
    <row r="192" spans="4:4" x14ac:dyDescent="0.25">
      <c r="D192" s="45"/>
    </row>
    <row r="193" spans="4:4" x14ac:dyDescent="0.25">
      <c r="D193" s="45"/>
    </row>
    <row r="194" spans="4:4" x14ac:dyDescent="0.25">
      <c r="D194" s="45"/>
    </row>
    <row r="195" spans="4:4" x14ac:dyDescent="0.25">
      <c r="D195" s="45"/>
    </row>
    <row r="196" spans="4:4" x14ac:dyDescent="0.25">
      <c r="D196" s="45"/>
    </row>
    <row r="197" spans="4:4" x14ac:dyDescent="0.25">
      <c r="D197" s="45"/>
    </row>
  </sheetData>
  <autoFilter ref="A10:D10"/>
  <mergeCells count="12">
    <mergeCell ref="E8:AH8"/>
    <mergeCell ref="AI8:BM8"/>
    <mergeCell ref="BN8:CQ8"/>
    <mergeCell ref="FB8:GE8"/>
    <mergeCell ref="GF8:HJ8"/>
    <mergeCell ref="MA8:NE8"/>
    <mergeCell ref="CR8:DV8"/>
    <mergeCell ref="DW8:FA8"/>
    <mergeCell ref="KY8:LZ8"/>
    <mergeCell ref="JT8:KX8"/>
    <mergeCell ref="HK8:IN8"/>
    <mergeCell ref="IO8:JS8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9" r:id="rId4" name="Month_listbox">
          <controlPr defaultSize="0" autoLine="0" r:id="rId5">
            <anchor moveWithCells="1">
              <from>
                <xdr:col>0</xdr:col>
                <xdr:colOff>304800</xdr:colOff>
                <xdr:row>2</xdr:row>
                <xdr:rowOff>47625</xdr:rowOff>
              </from>
              <to>
                <xdr:col>1</xdr:col>
                <xdr:colOff>447675</xdr:colOff>
                <xdr:row>6</xdr:row>
                <xdr:rowOff>180975</xdr:rowOff>
              </to>
            </anchor>
          </controlPr>
        </control>
      </mc:Choice>
      <mc:Fallback>
        <control shapeId="6149" r:id="rId4" name="Month_listbox"/>
      </mc:Fallback>
    </mc:AlternateContent>
    <mc:AlternateContent xmlns:mc="http://schemas.openxmlformats.org/markup-compatibility/2006">
      <mc:Choice Requires="x14">
        <control shapeId="6151" r:id="rId6" name="CommandButton1">
          <controlPr defaultSize="0" autoLine="0" r:id="rId7">
            <anchor moveWithCells="1">
              <from>
                <xdr:col>1</xdr:col>
                <xdr:colOff>647700</xdr:colOff>
                <xdr:row>3</xdr:row>
                <xdr:rowOff>66675</xdr:rowOff>
              </from>
              <to>
                <xdr:col>2</xdr:col>
                <xdr:colOff>895350</xdr:colOff>
                <xdr:row>5</xdr:row>
                <xdr:rowOff>9525</xdr:rowOff>
              </to>
            </anchor>
          </controlPr>
        </control>
      </mc:Choice>
      <mc:Fallback>
        <control shapeId="6151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6:O281"/>
  <sheetViews>
    <sheetView showGridLines="0" showRowColHeaders="0" workbookViewId="0">
      <selection activeCell="M9" sqref="M9"/>
    </sheetView>
  </sheetViews>
  <sheetFormatPr defaultRowHeight="15" x14ac:dyDescent="0.25"/>
  <cols>
    <col min="1" max="1" width="20.42578125" customWidth="1"/>
    <col min="2" max="2" width="19.7109375" customWidth="1"/>
    <col min="3" max="3" width="24.85546875" bestFit="1" customWidth="1"/>
    <col min="4" max="5" width="9.140625" customWidth="1"/>
    <col min="7" max="7" width="10.7109375" bestFit="1" customWidth="1"/>
    <col min="10" max="10" width="9.7109375" bestFit="1" customWidth="1"/>
  </cols>
  <sheetData>
    <row r="6" spans="1:15" x14ac:dyDescent="0.25">
      <c r="D6" s="80" t="s">
        <v>92</v>
      </c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</row>
    <row r="7" spans="1:15" ht="15.75" x14ac:dyDescent="0.25">
      <c r="A7" s="2" t="s">
        <v>0</v>
      </c>
      <c r="B7" s="2" t="s">
        <v>1</v>
      </c>
      <c r="C7" s="2" t="s">
        <v>4</v>
      </c>
      <c r="D7" s="2" t="s">
        <v>13</v>
      </c>
      <c r="E7" s="2" t="s">
        <v>14</v>
      </c>
      <c r="F7" s="2" t="s">
        <v>15</v>
      </c>
      <c r="G7" s="2" t="s">
        <v>16</v>
      </c>
      <c r="H7" s="2" t="s">
        <v>17</v>
      </c>
      <c r="I7" s="2" t="s">
        <v>18</v>
      </c>
      <c r="J7" s="2" t="s">
        <v>19</v>
      </c>
      <c r="K7" s="2" t="s">
        <v>20</v>
      </c>
      <c r="L7" s="2" t="s">
        <v>21</v>
      </c>
      <c r="M7" s="2" t="s">
        <v>10</v>
      </c>
      <c r="N7" s="2" t="s">
        <v>11</v>
      </c>
      <c r="O7" s="2" t="s">
        <v>12</v>
      </c>
    </row>
    <row r="8" spans="1:15" x14ac:dyDescent="0.25">
      <c r="A8" s="57" t="s">
        <v>148</v>
      </c>
      <c r="B8" s="57" t="s">
        <v>161</v>
      </c>
      <c r="C8" s="57" t="s">
        <v>181</v>
      </c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</row>
    <row r="9" spans="1:15" x14ac:dyDescent="0.25">
      <c r="A9" s="57" t="s">
        <v>149</v>
      </c>
      <c r="B9" s="57" t="s">
        <v>162</v>
      </c>
      <c r="C9" s="57" t="s">
        <v>158</v>
      </c>
      <c r="D9" s="62"/>
      <c r="E9" s="62"/>
      <c r="F9" s="62"/>
      <c r="G9" s="62"/>
      <c r="H9" s="62"/>
      <c r="I9" s="62"/>
      <c r="J9" s="62"/>
      <c r="K9" s="62"/>
      <c r="L9" s="62"/>
      <c r="M9" s="62">
        <v>42011</v>
      </c>
      <c r="N9" s="62"/>
      <c r="O9" s="62"/>
    </row>
    <row r="10" spans="1:15" x14ac:dyDescent="0.25">
      <c r="A10" s="57" t="s">
        <v>150</v>
      </c>
      <c r="B10" s="57" t="s">
        <v>163</v>
      </c>
      <c r="C10" s="57" t="s">
        <v>158</v>
      </c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</row>
    <row r="11" spans="1:15" x14ac:dyDescent="0.25">
      <c r="A11" s="57" t="s">
        <v>40</v>
      </c>
      <c r="B11" s="57" t="s">
        <v>164</v>
      </c>
      <c r="C11" s="57" t="s">
        <v>36</v>
      </c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</row>
    <row r="12" spans="1:15" x14ac:dyDescent="0.25">
      <c r="A12" s="57" t="s">
        <v>106</v>
      </c>
      <c r="B12" s="57" t="s">
        <v>107</v>
      </c>
      <c r="C12" s="57" t="s">
        <v>39</v>
      </c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</row>
    <row r="13" spans="1:15" x14ac:dyDescent="0.25">
      <c r="A13" s="57" t="s">
        <v>151</v>
      </c>
      <c r="B13" s="57" t="s">
        <v>165</v>
      </c>
      <c r="C13" s="57" t="s">
        <v>36</v>
      </c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</row>
    <row r="14" spans="1:15" x14ac:dyDescent="0.25">
      <c r="A14" s="57" t="s">
        <v>38</v>
      </c>
      <c r="B14" s="57" t="s">
        <v>166</v>
      </c>
      <c r="C14" s="57" t="s">
        <v>36</v>
      </c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</row>
    <row r="15" spans="1:15" x14ac:dyDescent="0.25">
      <c r="A15" s="57" t="s">
        <v>39</v>
      </c>
      <c r="B15" s="57" t="s">
        <v>167</v>
      </c>
      <c r="C15" s="57" t="s">
        <v>37</v>
      </c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</row>
    <row r="16" spans="1:15" x14ac:dyDescent="0.25">
      <c r="A16" s="57" t="s">
        <v>152</v>
      </c>
      <c r="B16" s="57" t="s">
        <v>168</v>
      </c>
      <c r="C16" s="57" t="s">
        <v>39</v>
      </c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</row>
    <row r="17" spans="1:15" x14ac:dyDescent="0.25">
      <c r="A17" s="57" t="s">
        <v>153</v>
      </c>
      <c r="B17" s="57" t="s">
        <v>169</v>
      </c>
      <c r="C17" s="57" t="s">
        <v>158</v>
      </c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</row>
    <row r="18" spans="1:15" x14ac:dyDescent="0.25">
      <c r="A18" s="57" t="s">
        <v>154</v>
      </c>
      <c r="B18" s="57" t="s">
        <v>170</v>
      </c>
      <c r="C18" s="57" t="s">
        <v>36</v>
      </c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</row>
    <row r="19" spans="1:15" x14ac:dyDescent="0.25">
      <c r="A19" s="57" t="s">
        <v>145</v>
      </c>
      <c r="B19" s="57" t="s">
        <v>146</v>
      </c>
      <c r="C19" s="57" t="s">
        <v>39</v>
      </c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</row>
    <row r="20" spans="1:15" x14ac:dyDescent="0.25">
      <c r="A20" s="57" t="s">
        <v>136</v>
      </c>
      <c r="B20" s="57" t="s">
        <v>133</v>
      </c>
      <c r="C20" s="57" t="s">
        <v>38</v>
      </c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</row>
    <row r="21" spans="1:15" x14ac:dyDescent="0.25">
      <c r="A21" s="57" t="s">
        <v>155</v>
      </c>
      <c r="B21" s="57" t="s">
        <v>171</v>
      </c>
      <c r="C21" s="57" t="s">
        <v>158</v>
      </c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</row>
    <row r="22" spans="1:15" x14ac:dyDescent="0.25">
      <c r="A22" s="57" t="s">
        <v>41</v>
      </c>
      <c r="B22" s="57" t="s">
        <v>172</v>
      </c>
      <c r="C22" s="57" t="s">
        <v>38</v>
      </c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</row>
    <row r="23" spans="1:15" x14ac:dyDescent="0.25">
      <c r="A23" s="57" t="s">
        <v>156</v>
      </c>
      <c r="B23" s="57" t="s">
        <v>173</v>
      </c>
      <c r="C23" s="57" t="s">
        <v>39</v>
      </c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</row>
    <row r="24" spans="1:15" x14ac:dyDescent="0.25">
      <c r="A24" s="57" t="s">
        <v>157</v>
      </c>
      <c r="B24" s="57" t="s">
        <v>174</v>
      </c>
      <c r="C24" s="57" t="s">
        <v>38</v>
      </c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</row>
    <row r="25" spans="1:15" x14ac:dyDescent="0.25">
      <c r="A25" s="57" t="s">
        <v>158</v>
      </c>
      <c r="B25" s="57" t="s">
        <v>175</v>
      </c>
      <c r="C25" s="57" t="s">
        <v>36</v>
      </c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</row>
    <row r="26" spans="1:15" x14ac:dyDescent="0.25">
      <c r="A26" s="57" t="s">
        <v>36</v>
      </c>
      <c r="B26" s="57" t="s">
        <v>176</v>
      </c>
      <c r="C26" s="57" t="s">
        <v>37</v>
      </c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</row>
    <row r="27" spans="1:15" x14ac:dyDescent="0.25">
      <c r="A27" s="57" t="s">
        <v>159</v>
      </c>
      <c r="B27" s="57" t="s">
        <v>177</v>
      </c>
      <c r="C27" s="57" t="s">
        <v>38</v>
      </c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</row>
    <row r="28" spans="1:15" x14ac:dyDescent="0.25">
      <c r="A28" s="57" t="s">
        <v>160</v>
      </c>
      <c r="B28" s="57" t="s">
        <v>178</v>
      </c>
      <c r="C28" s="57" t="s">
        <v>39</v>
      </c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</row>
    <row r="29" spans="1:15" x14ac:dyDescent="0.25">
      <c r="A29" s="57" t="s">
        <v>37</v>
      </c>
      <c r="B29" s="57" t="s">
        <v>179</v>
      </c>
      <c r="C29" s="57" t="s">
        <v>182</v>
      </c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</row>
    <row r="30" spans="1:15" x14ac:dyDescent="0.25">
      <c r="A30" s="46" t="s">
        <v>106</v>
      </c>
      <c r="B30" s="46" t="s">
        <v>107</v>
      </c>
      <c r="C30" s="46" t="s">
        <v>39</v>
      </c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</row>
    <row r="31" spans="1:15" x14ac:dyDescent="0.25">
      <c r="A31" s="46"/>
      <c r="B31" s="46"/>
      <c r="C31" s="46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</row>
    <row r="32" spans="1:15" x14ac:dyDescent="0.25">
      <c r="A32" s="46"/>
      <c r="B32" s="46"/>
      <c r="C32" s="46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</row>
    <row r="33" spans="1:15" x14ac:dyDescent="0.25">
      <c r="A33" s="46"/>
      <c r="B33" s="46"/>
      <c r="C33" s="46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</row>
    <row r="34" spans="1:15" x14ac:dyDescent="0.25">
      <c r="A34" s="46"/>
      <c r="B34" s="46"/>
      <c r="C34" s="46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</row>
    <row r="35" spans="1:15" x14ac:dyDescent="0.25">
      <c r="A35" s="46"/>
      <c r="B35" s="46"/>
      <c r="C35" s="46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</row>
    <row r="36" spans="1:15" x14ac:dyDescent="0.25">
      <c r="A36" s="46"/>
      <c r="B36" s="46"/>
      <c r="C36" s="46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</row>
    <row r="37" spans="1:15" x14ac:dyDescent="0.25">
      <c r="A37" s="46"/>
      <c r="B37" s="46"/>
      <c r="C37" s="46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</row>
    <row r="38" spans="1:15" x14ac:dyDescent="0.25">
      <c r="A38" s="46"/>
      <c r="B38" s="46"/>
      <c r="C38" s="46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</row>
    <row r="39" spans="1:15" x14ac:dyDescent="0.25">
      <c r="A39" s="46"/>
      <c r="B39" s="46"/>
      <c r="C39" s="46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</row>
    <row r="40" spans="1:15" x14ac:dyDescent="0.25">
      <c r="A40" s="46"/>
      <c r="B40" s="46"/>
      <c r="C40" s="46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</row>
    <row r="41" spans="1:15" x14ac:dyDescent="0.25">
      <c r="A41" s="46"/>
      <c r="B41" s="46"/>
      <c r="C41" s="46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</row>
    <row r="42" spans="1:15" x14ac:dyDescent="0.25">
      <c r="A42" s="46"/>
      <c r="B42" s="46"/>
      <c r="C42" s="46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</row>
    <row r="43" spans="1:15" x14ac:dyDescent="0.25">
      <c r="A43" s="46"/>
      <c r="B43" s="46"/>
      <c r="C43" s="46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</row>
    <row r="44" spans="1:15" x14ac:dyDescent="0.25">
      <c r="A44" s="46"/>
      <c r="B44" s="46"/>
      <c r="C44" s="46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</row>
    <row r="45" spans="1:15" x14ac:dyDescent="0.25">
      <c r="A45" s="46"/>
      <c r="B45" s="46"/>
      <c r="C45" s="46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</row>
    <row r="46" spans="1:15" x14ac:dyDescent="0.25">
      <c r="A46" s="46"/>
      <c r="B46" s="46"/>
      <c r="C46" s="46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</row>
    <row r="47" spans="1:15" x14ac:dyDescent="0.25">
      <c r="A47" s="46"/>
      <c r="B47" s="46"/>
      <c r="C47" s="46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</row>
    <row r="48" spans="1:15" x14ac:dyDescent="0.25">
      <c r="A48" s="46"/>
      <c r="B48" s="46"/>
      <c r="C48" s="46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</row>
    <row r="49" spans="1:15" x14ac:dyDescent="0.25">
      <c r="A49" s="46"/>
      <c r="B49" s="46"/>
      <c r="C49" s="46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</row>
    <row r="50" spans="1:15" x14ac:dyDescent="0.25">
      <c r="A50" s="46"/>
      <c r="B50" s="46"/>
      <c r="C50" s="46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</row>
    <row r="51" spans="1:15" x14ac:dyDescent="0.25">
      <c r="A51" s="46"/>
      <c r="B51" s="46"/>
      <c r="C51" s="46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</row>
    <row r="52" spans="1:15" x14ac:dyDescent="0.25">
      <c r="A52" s="46"/>
      <c r="B52" s="46"/>
      <c r="C52" s="46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</row>
    <row r="53" spans="1:15" x14ac:dyDescent="0.25">
      <c r="A53" s="46"/>
      <c r="B53" s="46"/>
      <c r="C53" s="46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</row>
    <row r="54" spans="1:15" x14ac:dyDescent="0.25">
      <c r="A54" s="46"/>
      <c r="B54" s="46"/>
      <c r="C54" s="46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</row>
    <row r="55" spans="1:15" x14ac:dyDescent="0.25">
      <c r="A55" s="46"/>
      <c r="B55" s="46"/>
      <c r="C55" s="46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</row>
    <row r="56" spans="1:15" x14ac:dyDescent="0.25">
      <c r="A56" s="46"/>
      <c r="B56" s="46"/>
      <c r="C56" s="46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</row>
    <row r="57" spans="1:15" x14ac:dyDescent="0.25">
      <c r="A57" s="46"/>
      <c r="B57" s="46"/>
      <c r="C57" s="46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</row>
    <row r="58" spans="1:15" x14ac:dyDescent="0.25">
      <c r="A58" s="46"/>
      <c r="B58" s="46"/>
      <c r="C58" s="46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</row>
    <row r="59" spans="1:15" x14ac:dyDescent="0.25">
      <c r="A59" s="46"/>
      <c r="B59" s="46"/>
      <c r="C59" s="46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</row>
    <row r="60" spans="1:15" x14ac:dyDescent="0.25">
      <c r="A60" s="46"/>
      <c r="B60" s="46"/>
      <c r="C60" s="46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</row>
    <row r="61" spans="1:15" x14ac:dyDescent="0.25">
      <c r="A61" s="46"/>
      <c r="B61" s="46"/>
      <c r="C61" s="46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</row>
    <row r="62" spans="1:15" x14ac:dyDescent="0.25">
      <c r="A62" s="46"/>
      <c r="B62" s="46"/>
      <c r="C62" s="46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</row>
    <row r="63" spans="1:15" x14ac:dyDescent="0.25">
      <c r="A63" s="46"/>
      <c r="B63" s="46"/>
      <c r="C63" s="46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</row>
    <row r="64" spans="1:15" x14ac:dyDescent="0.25">
      <c r="A64" s="46"/>
      <c r="B64" s="46"/>
      <c r="C64" s="46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</row>
    <row r="65" spans="1:15" x14ac:dyDescent="0.25">
      <c r="A65" s="46"/>
      <c r="B65" s="46"/>
      <c r="C65" s="46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</row>
    <row r="66" spans="1:15" x14ac:dyDescent="0.25">
      <c r="A66" s="46"/>
      <c r="B66" s="46"/>
      <c r="C66" s="46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</row>
    <row r="67" spans="1:15" x14ac:dyDescent="0.25">
      <c r="A67" s="46"/>
      <c r="B67" s="46"/>
      <c r="C67" s="46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</row>
    <row r="68" spans="1:15" x14ac:dyDescent="0.25">
      <c r="A68" s="46"/>
      <c r="B68" s="46"/>
      <c r="C68" s="46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</row>
    <row r="69" spans="1:15" x14ac:dyDescent="0.25">
      <c r="A69" s="46"/>
      <c r="B69" s="46"/>
      <c r="C69" s="46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</row>
    <row r="70" spans="1:15" x14ac:dyDescent="0.25">
      <c r="A70" s="46"/>
      <c r="B70" s="46"/>
      <c r="C70" s="46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</row>
    <row r="71" spans="1:15" x14ac:dyDescent="0.25">
      <c r="A71" s="46"/>
      <c r="B71" s="46"/>
      <c r="C71" s="46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</row>
    <row r="72" spans="1:15" x14ac:dyDescent="0.25">
      <c r="A72" s="46"/>
      <c r="B72" s="46"/>
      <c r="C72" s="46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</row>
    <row r="73" spans="1:15" x14ac:dyDescent="0.25">
      <c r="A73" s="46"/>
      <c r="B73" s="46"/>
      <c r="C73" s="46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</row>
    <row r="74" spans="1:15" x14ac:dyDescent="0.25">
      <c r="A74" s="46"/>
      <c r="B74" s="46"/>
      <c r="C74" s="46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</row>
    <row r="75" spans="1:15" x14ac:dyDescent="0.25">
      <c r="A75" s="46"/>
      <c r="B75" s="46"/>
      <c r="C75" s="46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</row>
    <row r="76" spans="1:15" x14ac:dyDescent="0.25">
      <c r="A76" s="46"/>
      <c r="B76" s="46"/>
      <c r="C76" s="46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</row>
    <row r="77" spans="1:15" x14ac:dyDescent="0.25">
      <c r="A77" s="46"/>
      <c r="B77" s="46"/>
      <c r="C77" s="46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</row>
    <row r="78" spans="1:15" x14ac:dyDescent="0.25">
      <c r="A78" s="46"/>
      <c r="B78" s="46"/>
      <c r="C78" s="46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</row>
    <row r="79" spans="1:15" x14ac:dyDescent="0.25">
      <c r="A79" s="46"/>
      <c r="B79" s="46"/>
      <c r="C79" s="46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</row>
    <row r="80" spans="1:15" x14ac:dyDescent="0.25">
      <c r="A80" s="46"/>
      <c r="B80" s="46"/>
      <c r="C80" s="46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</row>
    <row r="81" spans="1:15" x14ac:dyDescent="0.25">
      <c r="A81" s="46"/>
      <c r="B81" s="46"/>
      <c r="C81" s="46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</row>
    <row r="82" spans="1:15" x14ac:dyDescent="0.25">
      <c r="A82" s="46"/>
      <c r="B82" s="46"/>
      <c r="C82" s="46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</row>
    <row r="83" spans="1:15" x14ac:dyDescent="0.25">
      <c r="A83" s="46"/>
      <c r="B83" s="46"/>
      <c r="C83" s="46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</row>
    <row r="84" spans="1:15" x14ac:dyDescent="0.25">
      <c r="A84" s="46"/>
      <c r="B84" s="46"/>
      <c r="C84" s="46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</row>
    <row r="85" spans="1:15" x14ac:dyDescent="0.25">
      <c r="A85" s="46"/>
      <c r="B85" s="46"/>
      <c r="C85" s="46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</row>
    <row r="86" spans="1:15" x14ac:dyDescent="0.25">
      <c r="A86" s="46"/>
      <c r="B86" s="46"/>
      <c r="C86" s="46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</row>
    <row r="87" spans="1:15" x14ac:dyDescent="0.25">
      <c r="A87" s="46"/>
      <c r="B87" s="46"/>
      <c r="C87" s="46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</row>
    <row r="88" spans="1:15" x14ac:dyDescent="0.25">
      <c r="A88" s="46"/>
      <c r="B88" s="46"/>
      <c r="C88" s="46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</row>
    <row r="89" spans="1:15" x14ac:dyDescent="0.25">
      <c r="A89" s="46"/>
      <c r="B89" s="46"/>
      <c r="C89" s="46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</row>
    <row r="90" spans="1:15" x14ac:dyDescent="0.25">
      <c r="A90" s="46"/>
      <c r="B90" s="46"/>
      <c r="C90" s="46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</row>
    <row r="91" spans="1:15" x14ac:dyDescent="0.25">
      <c r="A91" s="46"/>
      <c r="B91" s="46"/>
      <c r="C91" s="46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</row>
    <row r="92" spans="1:15" x14ac:dyDescent="0.25">
      <c r="A92" s="46"/>
      <c r="B92" s="46"/>
      <c r="C92" s="46"/>
      <c r="D92" s="62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</row>
    <row r="93" spans="1:15" x14ac:dyDescent="0.25">
      <c r="A93" s="46"/>
      <c r="B93" s="46"/>
      <c r="C93" s="46"/>
      <c r="D93" s="62"/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</row>
    <row r="94" spans="1:15" x14ac:dyDescent="0.25">
      <c r="A94" s="46"/>
      <c r="B94" s="46"/>
      <c r="C94" s="46"/>
      <c r="D94" s="62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</row>
    <row r="95" spans="1:15" x14ac:dyDescent="0.25">
      <c r="A95" s="46"/>
      <c r="B95" s="46"/>
      <c r="C95" s="46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</row>
    <row r="96" spans="1:15" x14ac:dyDescent="0.25">
      <c r="A96" s="46"/>
      <c r="B96" s="46"/>
      <c r="C96" s="46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</row>
    <row r="97" spans="1:15" x14ac:dyDescent="0.25">
      <c r="A97" s="46"/>
      <c r="B97" s="46"/>
      <c r="C97" s="46"/>
      <c r="D97" s="62"/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</row>
    <row r="98" spans="1:15" x14ac:dyDescent="0.25">
      <c r="A98" s="46"/>
      <c r="B98" s="46"/>
      <c r="C98" s="46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</row>
    <row r="99" spans="1:15" x14ac:dyDescent="0.25">
      <c r="A99" s="46"/>
      <c r="B99" s="46"/>
      <c r="C99" s="46"/>
      <c r="D99" s="62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</row>
    <row r="100" spans="1:15" x14ac:dyDescent="0.25">
      <c r="A100" s="46"/>
      <c r="B100" s="46"/>
      <c r="C100" s="46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</row>
    <row r="101" spans="1:15" x14ac:dyDescent="0.25">
      <c r="A101" s="46"/>
      <c r="B101" s="46"/>
      <c r="C101" s="46"/>
      <c r="D101" s="62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</row>
    <row r="102" spans="1:15" x14ac:dyDescent="0.25">
      <c r="A102" s="46"/>
      <c r="B102" s="46"/>
      <c r="C102" s="46"/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</row>
    <row r="103" spans="1:15" x14ac:dyDescent="0.25">
      <c r="A103" s="46"/>
      <c r="B103" s="46"/>
      <c r="C103" s="46"/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</row>
    <row r="104" spans="1:15" x14ac:dyDescent="0.25">
      <c r="A104" s="46"/>
      <c r="B104" s="46"/>
      <c r="C104" s="46"/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</row>
    <row r="105" spans="1:15" x14ac:dyDescent="0.25">
      <c r="A105" s="46"/>
      <c r="B105" s="46"/>
      <c r="C105" s="46"/>
      <c r="D105" s="62"/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</row>
    <row r="106" spans="1:15" x14ac:dyDescent="0.25">
      <c r="A106" s="46"/>
      <c r="B106" s="46"/>
      <c r="C106" s="46"/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</row>
    <row r="107" spans="1:15" x14ac:dyDescent="0.25">
      <c r="A107" s="46"/>
      <c r="B107" s="46"/>
      <c r="C107" s="46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</row>
    <row r="108" spans="1:15" x14ac:dyDescent="0.25">
      <c r="A108" s="46"/>
      <c r="B108" s="46"/>
      <c r="C108" s="46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</row>
    <row r="109" spans="1:15" x14ac:dyDescent="0.25">
      <c r="A109" s="46"/>
      <c r="B109" s="46"/>
      <c r="C109" s="46"/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</row>
    <row r="110" spans="1:15" x14ac:dyDescent="0.25">
      <c r="A110" s="46"/>
      <c r="B110" s="46"/>
      <c r="C110" s="46"/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</row>
    <row r="111" spans="1:15" x14ac:dyDescent="0.25">
      <c r="A111" s="46"/>
      <c r="B111" s="46"/>
      <c r="C111" s="46"/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</row>
    <row r="112" spans="1:15" x14ac:dyDescent="0.25">
      <c r="A112" s="46"/>
      <c r="B112" s="46"/>
      <c r="C112" s="46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</row>
    <row r="113" spans="1:15" x14ac:dyDescent="0.25">
      <c r="A113" s="46"/>
      <c r="B113" s="46"/>
      <c r="C113" s="46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</row>
    <row r="114" spans="1:15" x14ac:dyDescent="0.25">
      <c r="A114" s="46"/>
      <c r="B114" s="46"/>
      <c r="C114" s="46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</row>
    <row r="115" spans="1:15" x14ac:dyDescent="0.25">
      <c r="A115" s="46"/>
      <c r="B115" s="46"/>
      <c r="C115" s="46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</row>
    <row r="116" spans="1:15" x14ac:dyDescent="0.25">
      <c r="A116" s="46"/>
      <c r="B116" s="46"/>
      <c r="C116" s="46"/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</row>
    <row r="117" spans="1:15" x14ac:dyDescent="0.25">
      <c r="A117" s="46"/>
      <c r="B117" s="46"/>
      <c r="C117" s="46"/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</row>
    <row r="118" spans="1:15" x14ac:dyDescent="0.25">
      <c r="A118" s="46"/>
      <c r="B118" s="46"/>
      <c r="C118" s="46"/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</row>
    <row r="119" spans="1:15" x14ac:dyDescent="0.25">
      <c r="A119" s="46"/>
      <c r="B119" s="46"/>
      <c r="C119" s="46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</row>
    <row r="120" spans="1:15" x14ac:dyDescent="0.25">
      <c r="A120" s="46"/>
      <c r="B120" s="46"/>
      <c r="C120" s="46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</row>
    <row r="121" spans="1:15" x14ac:dyDescent="0.25">
      <c r="A121" s="46"/>
      <c r="B121" s="46"/>
      <c r="C121" s="46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</row>
    <row r="122" spans="1:15" x14ac:dyDescent="0.25">
      <c r="A122" s="46"/>
      <c r="B122" s="46"/>
      <c r="C122" s="46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</row>
    <row r="123" spans="1:15" x14ac:dyDescent="0.25">
      <c r="A123" s="46"/>
      <c r="B123" s="46"/>
      <c r="C123" s="46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</row>
    <row r="124" spans="1:15" x14ac:dyDescent="0.25">
      <c r="A124" s="46"/>
      <c r="B124" s="46"/>
      <c r="C124" s="46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</row>
    <row r="125" spans="1:15" x14ac:dyDescent="0.25">
      <c r="A125" s="46"/>
      <c r="B125" s="46"/>
      <c r="C125" s="46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</row>
    <row r="126" spans="1:15" x14ac:dyDescent="0.25">
      <c r="A126" s="46"/>
      <c r="B126" s="46"/>
      <c r="C126" s="46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</row>
    <row r="127" spans="1:15" x14ac:dyDescent="0.25">
      <c r="A127" s="46"/>
      <c r="B127" s="46"/>
      <c r="C127" s="46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</row>
    <row r="128" spans="1:15" x14ac:dyDescent="0.25">
      <c r="A128" s="46"/>
      <c r="B128" s="46"/>
      <c r="C128" s="46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</row>
    <row r="129" spans="1:15" x14ac:dyDescent="0.25">
      <c r="A129" s="46"/>
      <c r="B129" s="46"/>
      <c r="C129" s="46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</row>
    <row r="130" spans="1:15" x14ac:dyDescent="0.25">
      <c r="A130" s="46"/>
      <c r="B130" s="46"/>
      <c r="C130" s="46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</row>
    <row r="131" spans="1:15" x14ac:dyDescent="0.25">
      <c r="A131" s="46"/>
      <c r="B131" s="46"/>
      <c r="C131" s="46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</row>
    <row r="132" spans="1:15" x14ac:dyDescent="0.25">
      <c r="A132" s="46"/>
      <c r="B132" s="46"/>
      <c r="C132" s="46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</row>
    <row r="133" spans="1:15" x14ac:dyDescent="0.25">
      <c r="A133" s="46"/>
      <c r="B133" s="46"/>
      <c r="C133" s="46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</row>
    <row r="134" spans="1:15" x14ac:dyDescent="0.25">
      <c r="A134" s="46"/>
      <c r="B134" s="46"/>
      <c r="C134" s="46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</row>
    <row r="135" spans="1:15" x14ac:dyDescent="0.25">
      <c r="A135" s="46"/>
      <c r="B135" s="46"/>
      <c r="C135" s="46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</row>
    <row r="136" spans="1:15" x14ac:dyDescent="0.25">
      <c r="A136" s="46"/>
      <c r="B136" s="46"/>
      <c r="C136" s="46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</row>
    <row r="137" spans="1:15" x14ac:dyDescent="0.25">
      <c r="A137" s="46"/>
      <c r="B137" s="46"/>
      <c r="C137" s="46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</row>
    <row r="138" spans="1:15" x14ac:dyDescent="0.25">
      <c r="A138" s="46"/>
      <c r="B138" s="46"/>
      <c r="C138" s="46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</row>
    <row r="139" spans="1:15" x14ac:dyDescent="0.25">
      <c r="A139" s="46"/>
      <c r="B139" s="46"/>
      <c r="C139" s="46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</row>
    <row r="140" spans="1:15" x14ac:dyDescent="0.25">
      <c r="A140" s="46"/>
      <c r="B140" s="46"/>
      <c r="C140" s="46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</row>
    <row r="141" spans="1:15" x14ac:dyDescent="0.25">
      <c r="A141" s="46"/>
      <c r="B141" s="46"/>
      <c r="C141" s="46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</row>
    <row r="142" spans="1:15" x14ac:dyDescent="0.25">
      <c r="A142" s="46"/>
      <c r="B142" s="46"/>
      <c r="C142" s="46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</row>
    <row r="143" spans="1:15" x14ac:dyDescent="0.25">
      <c r="A143" s="46"/>
      <c r="B143" s="46"/>
      <c r="C143" s="46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</row>
    <row r="144" spans="1:15" x14ac:dyDescent="0.25">
      <c r="A144" s="46"/>
      <c r="B144" s="46"/>
      <c r="C144" s="46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</row>
    <row r="145" spans="1:15" x14ac:dyDescent="0.25">
      <c r="A145" s="46"/>
      <c r="B145" s="46"/>
      <c r="C145" s="46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</row>
    <row r="146" spans="1:15" x14ac:dyDescent="0.25">
      <c r="A146" s="46"/>
      <c r="B146" s="46"/>
      <c r="C146" s="46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</row>
    <row r="147" spans="1:15" x14ac:dyDescent="0.25">
      <c r="A147" s="46"/>
      <c r="B147" s="46"/>
      <c r="C147" s="46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</row>
    <row r="148" spans="1:15" x14ac:dyDescent="0.25">
      <c r="A148" s="46"/>
      <c r="B148" s="46"/>
      <c r="C148" s="46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</row>
    <row r="149" spans="1:15" x14ac:dyDescent="0.25">
      <c r="A149" s="46"/>
      <c r="B149" s="46"/>
      <c r="C149" s="46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</row>
    <row r="150" spans="1:15" x14ac:dyDescent="0.25">
      <c r="A150" s="46"/>
      <c r="B150" s="46"/>
      <c r="C150" s="46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</row>
    <row r="151" spans="1:15" x14ac:dyDescent="0.25">
      <c r="A151" s="46"/>
      <c r="B151" s="46"/>
      <c r="C151" s="46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</row>
    <row r="152" spans="1:15" x14ac:dyDescent="0.25">
      <c r="A152" s="46"/>
      <c r="B152" s="46"/>
      <c r="C152" s="46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</row>
    <row r="153" spans="1:15" x14ac:dyDescent="0.25">
      <c r="A153" s="46"/>
      <c r="B153" s="46"/>
      <c r="C153" s="46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</row>
    <row r="154" spans="1:15" x14ac:dyDescent="0.25">
      <c r="A154" s="46"/>
      <c r="B154" s="46"/>
      <c r="C154" s="46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</row>
    <row r="155" spans="1:15" x14ac:dyDescent="0.25">
      <c r="A155" s="46"/>
      <c r="B155" s="46"/>
      <c r="C155" s="46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</row>
    <row r="156" spans="1:15" x14ac:dyDescent="0.25">
      <c r="A156" s="46"/>
      <c r="B156" s="46"/>
      <c r="C156" s="46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</row>
    <row r="157" spans="1:15" x14ac:dyDescent="0.25">
      <c r="A157" s="46"/>
      <c r="B157" s="46"/>
      <c r="C157" s="46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</row>
    <row r="158" spans="1:15" x14ac:dyDescent="0.25">
      <c r="A158" s="46"/>
      <c r="B158" s="46"/>
      <c r="C158" s="46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</row>
    <row r="159" spans="1:15" x14ac:dyDescent="0.25">
      <c r="A159" s="46"/>
      <c r="B159" s="46"/>
      <c r="C159" s="46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</row>
    <row r="160" spans="1:15" x14ac:dyDescent="0.25">
      <c r="A160" s="46"/>
      <c r="B160" s="46"/>
      <c r="C160" s="46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</row>
    <row r="161" spans="1:15" x14ac:dyDescent="0.25">
      <c r="A161" s="46"/>
      <c r="B161" s="46"/>
      <c r="C161" s="46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</row>
    <row r="162" spans="1:15" x14ac:dyDescent="0.25">
      <c r="A162" s="46"/>
      <c r="B162" s="46"/>
      <c r="C162" s="46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</row>
    <row r="163" spans="1:15" x14ac:dyDescent="0.25">
      <c r="A163" s="46"/>
      <c r="B163" s="46"/>
      <c r="C163" s="46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</row>
    <row r="164" spans="1:15" x14ac:dyDescent="0.25">
      <c r="A164" s="46"/>
      <c r="B164" s="46"/>
      <c r="C164" s="46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</row>
    <row r="165" spans="1:15" x14ac:dyDescent="0.25">
      <c r="A165" s="46"/>
      <c r="B165" s="46"/>
      <c r="C165" s="46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</row>
    <row r="166" spans="1:15" x14ac:dyDescent="0.25">
      <c r="A166" s="46"/>
      <c r="B166" s="46"/>
      <c r="C166" s="46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</row>
    <row r="167" spans="1:15" x14ac:dyDescent="0.25">
      <c r="A167" s="46"/>
      <c r="B167" s="46"/>
      <c r="C167" s="46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</row>
    <row r="168" spans="1:15" x14ac:dyDescent="0.25">
      <c r="A168" s="46"/>
      <c r="B168" s="46"/>
      <c r="C168" s="46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</row>
    <row r="169" spans="1:15" x14ac:dyDescent="0.25">
      <c r="A169" s="46"/>
      <c r="B169" s="46"/>
      <c r="C169" s="46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</row>
    <row r="170" spans="1:15" x14ac:dyDescent="0.25">
      <c r="A170" s="46"/>
      <c r="B170" s="46"/>
      <c r="C170" s="46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</row>
    <row r="171" spans="1:15" x14ac:dyDescent="0.25">
      <c r="A171" s="46"/>
      <c r="B171" s="46"/>
      <c r="C171" s="46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</row>
    <row r="172" spans="1:15" x14ac:dyDescent="0.25">
      <c r="A172" s="46"/>
      <c r="B172" s="46"/>
      <c r="C172" s="46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</row>
    <row r="173" spans="1:15" x14ac:dyDescent="0.25">
      <c r="A173" s="46"/>
      <c r="B173" s="46"/>
      <c r="C173" s="46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</row>
    <row r="174" spans="1:15" x14ac:dyDescent="0.25">
      <c r="A174" s="46"/>
      <c r="B174" s="46"/>
      <c r="C174" s="46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</row>
    <row r="175" spans="1:15" x14ac:dyDescent="0.25">
      <c r="A175" s="46"/>
      <c r="B175" s="46"/>
      <c r="C175" s="46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</row>
    <row r="176" spans="1:15" x14ac:dyDescent="0.25">
      <c r="A176" s="46"/>
      <c r="B176" s="46"/>
      <c r="C176" s="46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</row>
    <row r="177" spans="1:15" x14ac:dyDescent="0.25">
      <c r="A177" s="46"/>
      <c r="B177" s="46"/>
      <c r="C177" s="46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</row>
    <row r="178" spans="1:15" x14ac:dyDescent="0.25">
      <c r="A178" s="46"/>
      <c r="B178" s="46"/>
      <c r="C178" s="46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</row>
    <row r="179" spans="1:15" x14ac:dyDescent="0.25">
      <c r="A179" s="46"/>
      <c r="B179" s="46"/>
      <c r="C179" s="46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</row>
    <row r="180" spans="1:15" x14ac:dyDescent="0.25">
      <c r="A180" s="46"/>
      <c r="B180" s="46"/>
      <c r="C180" s="46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</row>
    <row r="181" spans="1:15" x14ac:dyDescent="0.25">
      <c r="A181" s="46"/>
      <c r="B181" s="46"/>
      <c r="C181" s="46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</row>
    <row r="182" spans="1:15" x14ac:dyDescent="0.25">
      <c r="A182" s="46"/>
      <c r="B182" s="46"/>
      <c r="C182" s="46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</row>
    <row r="183" spans="1:15" x14ac:dyDescent="0.25">
      <c r="A183" s="46"/>
      <c r="B183" s="46"/>
      <c r="C183" s="46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</row>
    <row r="184" spans="1:15" x14ac:dyDescent="0.25">
      <c r="A184" s="46"/>
      <c r="B184" s="46"/>
      <c r="C184" s="46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</row>
    <row r="185" spans="1:15" x14ac:dyDescent="0.25">
      <c r="A185" s="46"/>
      <c r="B185" s="46"/>
      <c r="C185" s="46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</row>
    <row r="186" spans="1:15" x14ac:dyDescent="0.25">
      <c r="A186" s="46"/>
      <c r="B186" s="46"/>
      <c r="C186" s="46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</row>
    <row r="187" spans="1:15" x14ac:dyDescent="0.25">
      <c r="A187" s="46"/>
      <c r="B187" s="46"/>
      <c r="C187" s="46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</row>
    <row r="188" spans="1:15" x14ac:dyDescent="0.25">
      <c r="A188" s="46"/>
      <c r="B188" s="46"/>
      <c r="C188" s="46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</row>
    <row r="189" spans="1:15" x14ac:dyDescent="0.25">
      <c r="A189" s="46"/>
      <c r="B189" s="46"/>
      <c r="C189" s="46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</row>
    <row r="190" spans="1:15" x14ac:dyDescent="0.25">
      <c r="A190" s="46"/>
      <c r="B190" s="46"/>
      <c r="C190" s="46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</row>
    <row r="191" spans="1:15" x14ac:dyDescent="0.25">
      <c r="A191" s="46"/>
      <c r="B191" s="46"/>
      <c r="C191" s="46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</row>
    <row r="192" spans="1:15" x14ac:dyDescent="0.25">
      <c r="A192" s="46"/>
      <c r="B192" s="46"/>
      <c r="C192" s="46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</row>
    <row r="193" spans="1:15" x14ac:dyDescent="0.25">
      <c r="A193" s="46"/>
      <c r="B193" s="46"/>
      <c r="C193" s="46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</row>
    <row r="194" spans="1:15" x14ac:dyDescent="0.25">
      <c r="A194" s="46"/>
      <c r="B194" s="46"/>
      <c r="C194" s="46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</row>
    <row r="195" spans="1:15" x14ac:dyDescent="0.25">
      <c r="A195" s="46"/>
      <c r="B195" s="46"/>
      <c r="C195" s="46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</row>
    <row r="196" spans="1:15" x14ac:dyDescent="0.25">
      <c r="A196" s="46"/>
      <c r="B196" s="46"/>
      <c r="C196" s="46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</row>
    <row r="197" spans="1:15" x14ac:dyDescent="0.25">
      <c r="A197" s="46"/>
      <c r="B197" s="46"/>
      <c r="C197" s="46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</row>
    <row r="198" spans="1:15" x14ac:dyDescent="0.25">
      <c r="A198" s="46"/>
      <c r="B198" s="46"/>
      <c r="C198" s="46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</row>
    <row r="199" spans="1:15" x14ac:dyDescent="0.25">
      <c r="A199" s="46"/>
      <c r="B199" s="46"/>
      <c r="C199" s="46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</row>
    <row r="200" spans="1:15" x14ac:dyDescent="0.25">
      <c r="A200" s="46"/>
      <c r="B200" s="46"/>
      <c r="C200" s="46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</row>
    <row r="201" spans="1:15" x14ac:dyDescent="0.25">
      <c r="A201" s="46"/>
      <c r="B201" s="46"/>
      <c r="C201" s="46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</row>
    <row r="202" spans="1:15" x14ac:dyDescent="0.25">
      <c r="A202" s="46"/>
      <c r="B202" s="46"/>
      <c r="C202" s="46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</row>
    <row r="203" spans="1:15" x14ac:dyDescent="0.25">
      <c r="A203" s="46"/>
      <c r="B203" s="46"/>
      <c r="C203" s="46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</row>
    <row r="204" spans="1:15" x14ac:dyDescent="0.25">
      <c r="A204" s="46"/>
      <c r="B204" s="46"/>
      <c r="C204" s="46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</row>
    <row r="205" spans="1:15" x14ac:dyDescent="0.25">
      <c r="A205" s="46"/>
      <c r="B205" s="46"/>
      <c r="C205" s="46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</row>
    <row r="206" spans="1:15" x14ac:dyDescent="0.25">
      <c r="A206" s="46"/>
      <c r="B206" s="46"/>
      <c r="C206" s="46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</row>
    <row r="207" spans="1:15" x14ac:dyDescent="0.25">
      <c r="A207" s="46"/>
      <c r="B207" s="46"/>
      <c r="C207" s="46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</row>
    <row r="208" spans="1:15" x14ac:dyDescent="0.25">
      <c r="A208" s="46"/>
      <c r="B208" s="46"/>
      <c r="C208" s="46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</row>
    <row r="209" spans="1:15" x14ac:dyDescent="0.25">
      <c r="A209" s="46"/>
      <c r="B209" s="46"/>
      <c r="C209" s="46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62"/>
    </row>
    <row r="210" spans="1:15" x14ac:dyDescent="0.25">
      <c r="A210" s="46"/>
      <c r="B210" s="46"/>
      <c r="C210" s="46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62"/>
    </row>
    <row r="211" spans="1:15" x14ac:dyDescent="0.25">
      <c r="A211" s="46"/>
      <c r="B211" s="46"/>
      <c r="C211" s="46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62"/>
    </row>
    <row r="212" spans="1:15" x14ac:dyDescent="0.25">
      <c r="A212" s="46"/>
      <c r="B212" s="46"/>
      <c r="C212" s="46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62"/>
    </row>
    <row r="213" spans="1:15" x14ac:dyDescent="0.25">
      <c r="A213" s="46"/>
      <c r="B213" s="46"/>
      <c r="C213" s="46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62"/>
    </row>
    <row r="214" spans="1:15" x14ac:dyDescent="0.25">
      <c r="A214" s="46"/>
      <c r="B214" s="46"/>
      <c r="C214" s="46"/>
      <c r="D214" s="62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62"/>
    </row>
    <row r="215" spans="1:15" x14ac:dyDescent="0.25">
      <c r="A215" s="46"/>
      <c r="B215" s="46"/>
      <c r="C215" s="46"/>
      <c r="D215" s="62"/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62"/>
    </row>
    <row r="216" spans="1:15" x14ac:dyDescent="0.25">
      <c r="A216" s="46"/>
      <c r="B216" s="46"/>
      <c r="C216" s="46"/>
      <c r="D216" s="62"/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62"/>
    </row>
    <row r="217" spans="1:15" x14ac:dyDescent="0.25">
      <c r="A217" s="46"/>
      <c r="B217" s="46"/>
      <c r="C217" s="46"/>
      <c r="D217" s="62"/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62"/>
    </row>
    <row r="218" spans="1:15" x14ac:dyDescent="0.25">
      <c r="A218" s="46"/>
      <c r="B218" s="46"/>
      <c r="C218" s="46"/>
      <c r="D218" s="62"/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62"/>
    </row>
    <row r="219" spans="1:15" x14ac:dyDescent="0.25">
      <c r="A219" s="46"/>
      <c r="B219" s="46"/>
      <c r="C219" s="46"/>
      <c r="D219" s="62"/>
      <c r="E219" s="62"/>
      <c r="F219" s="62"/>
      <c r="G219" s="62"/>
      <c r="H219" s="62"/>
      <c r="I219" s="62"/>
      <c r="J219" s="62"/>
      <c r="K219" s="62"/>
      <c r="L219" s="62"/>
      <c r="M219" s="62"/>
      <c r="N219" s="62"/>
      <c r="O219" s="62"/>
    </row>
    <row r="220" spans="1:15" x14ac:dyDescent="0.25">
      <c r="A220" s="46"/>
      <c r="B220" s="46"/>
      <c r="C220" s="46"/>
      <c r="D220" s="62"/>
      <c r="E220" s="62"/>
      <c r="F220" s="62"/>
      <c r="G220" s="62"/>
      <c r="H220" s="62"/>
      <c r="I220" s="62"/>
      <c r="J220" s="62"/>
      <c r="K220" s="62"/>
      <c r="L220" s="62"/>
      <c r="M220" s="62"/>
      <c r="N220" s="62"/>
      <c r="O220" s="62"/>
    </row>
    <row r="221" spans="1:15" x14ac:dyDescent="0.25">
      <c r="A221" s="46"/>
      <c r="B221" s="46"/>
      <c r="C221" s="46"/>
      <c r="D221" s="62"/>
      <c r="E221" s="62"/>
      <c r="F221" s="62"/>
      <c r="G221" s="62"/>
      <c r="H221" s="62"/>
      <c r="I221" s="62"/>
      <c r="J221" s="62"/>
      <c r="K221" s="62"/>
      <c r="L221" s="62"/>
      <c r="M221" s="62"/>
      <c r="N221" s="62"/>
      <c r="O221" s="62"/>
    </row>
    <row r="222" spans="1:15" x14ac:dyDescent="0.25">
      <c r="A222" s="46"/>
      <c r="B222" s="46"/>
      <c r="C222" s="46"/>
      <c r="D222" s="62"/>
      <c r="E222" s="62"/>
      <c r="F222" s="62"/>
      <c r="G222" s="62"/>
      <c r="H222" s="62"/>
      <c r="I222" s="62"/>
      <c r="J222" s="62"/>
      <c r="K222" s="62"/>
      <c r="L222" s="62"/>
      <c r="M222" s="62"/>
      <c r="N222" s="62"/>
      <c r="O222" s="62"/>
    </row>
    <row r="223" spans="1:15" x14ac:dyDescent="0.25">
      <c r="A223" s="46"/>
      <c r="B223" s="46"/>
      <c r="C223" s="46"/>
      <c r="D223" s="62"/>
      <c r="E223" s="62"/>
      <c r="F223" s="62"/>
      <c r="G223" s="62"/>
      <c r="H223" s="62"/>
      <c r="I223" s="62"/>
      <c r="J223" s="62"/>
      <c r="K223" s="62"/>
      <c r="L223" s="62"/>
      <c r="M223" s="62"/>
      <c r="N223" s="62"/>
      <c r="O223" s="62"/>
    </row>
    <row r="224" spans="1:15" x14ac:dyDescent="0.25">
      <c r="A224" s="46"/>
      <c r="B224" s="46"/>
      <c r="C224" s="46"/>
      <c r="D224" s="62"/>
      <c r="E224" s="62"/>
      <c r="F224" s="62"/>
      <c r="G224" s="62"/>
      <c r="H224" s="62"/>
      <c r="I224" s="62"/>
      <c r="J224" s="62"/>
      <c r="K224" s="62"/>
      <c r="L224" s="62"/>
      <c r="M224" s="62"/>
      <c r="N224" s="62"/>
      <c r="O224" s="62"/>
    </row>
    <row r="225" spans="1:15" x14ac:dyDescent="0.25">
      <c r="A225" s="46"/>
      <c r="B225" s="46"/>
      <c r="C225" s="46"/>
      <c r="D225" s="62"/>
      <c r="E225" s="62"/>
      <c r="F225" s="62"/>
      <c r="G225" s="62"/>
      <c r="H225" s="62"/>
      <c r="I225" s="62"/>
      <c r="J225" s="62"/>
      <c r="K225" s="62"/>
      <c r="L225" s="62"/>
      <c r="M225" s="62"/>
      <c r="N225" s="62"/>
      <c r="O225" s="62"/>
    </row>
    <row r="226" spans="1:15" x14ac:dyDescent="0.25">
      <c r="A226" s="46"/>
      <c r="B226" s="46"/>
      <c r="C226" s="46"/>
      <c r="D226" s="62"/>
      <c r="E226" s="62"/>
      <c r="F226" s="62"/>
      <c r="G226" s="62"/>
      <c r="H226" s="62"/>
      <c r="I226" s="62"/>
      <c r="J226" s="62"/>
      <c r="K226" s="62"/>
      <c r="L226" s="62"/>
      <c r="M226" s="62"/>
      <c r="N226" s="62"/>
      <c r="O226" s="62"/>
    </row>
    <row r="227" spans="1:15" x14ac:dyDescent="0.25">
      <c r="A227" s="46"/>
      <c r="B227" s="46"/>
      <c r="C227" s="46"/>
      <c r="D227" s="62"/>
      <c r="E227" s="62"/>
      <c r="F227" s="62"/>
      <c r="G227" s="62"/>
      <c r="H227" s="62"/>
      <c r="I227" s="62"/>
      <c r="J227" s="62"/>
      <c r="K227" s="62"/>
      <c r="L227" s="62"/>
      <c r="M227" s="62"/>
      <c r="N227" s="62"/>
      <c r="O227" s="62"/>
    </row>
    <row r="228" spans="1:15" x14ac:dyDescent="0.25">
      <c r="A228" s="46"/>
      <c r="B228" s="46"/>
      <c r="C228" s="46"/>
      <c r="D228" s="62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62"/>
    </row>
    <row r="229" spans="1:15" x14ac:dyDescent="0.25">
      <c r="A229" s="46"/>
      <c r="B229" s="46"/>
      <c r="C229" s="46"/>
      <c r="D229" s="62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62"/>
    </row>
    <row r="230" spans="1:15" x14ac:dyDescent="0.25">
      <c r="A230" s="46"/>
      <c r="B230" s="46"/>
      <c r="C230" s="46"/>
      <c r="D230" s="62"/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62"/>
    </row>
    <row r="231" spans="1:15" x14ac:dyDescent="0.25">
      <c r="A231" s="46"/>
      <c r="B231" s="46"/>
      <c r="C231" s="46"/>
      <c r="D231" s="62"/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62"/>
    </row>
    <row r="232" spans="1:15" x14ac:dyDescent="0.25">
      <c r="A232" s="46"/>
      <c r="B232" s="46"/>
      <c r="C232" s="46"/>
      <c r="D232" s="62"/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62"/>
    </row>
    <row r="233" spans="1:15" x14ac:dyDescent="0.25">
      <c r="A233" s="46"/>
      <c r="B233" s="46"/>
      <c r="C233" s="46"/>
      <c r="D233" s="62"/>
      <c r="E233" s="62"/>
      <c r="F233" s="62"/>
      <c r="G233" s="62"/>
      <c r="H233" s="62"/>
      <c r="I233" s="62"/>
      <c r="J233" s="62"/>
      <c r="K233" s="62"/>
      <c r="L233" s="62"/>
      <c r="M233" s="62"/>
      <c r="N233" s="62"/>
      <c r="O233" s="62"/>
    </row>
    <row r="234" spans="1:15" x14ac:dyDescent="0.25">
      <c r="A234" s="46"/>
      <c r="B234" s="46"/>
      <c r="C234" s="46"/>
      <c r="D234" s="62"/>
      <c r="E234" s="62"/>
      <c r="F234" s="62"/>
      <c r="G234" s="62"/>
      <c r="H234" s="62"/>
      <c r="I234" s="62"/>
      <c r="J234" s="62"/>
      <c r="K234" s="62"/>
      <c r="L234" s="62"/>
      <c r="M234" s="62"/>
      <c r="N234" s="62"/>
      <c r="O234" s="62"/>
    </row>
    <row r="235" spans="1:15" x14ac:dyDescent="0.25">
      <c r="A235" s="46"/>
      <c r="B235" s="46"/>
      <c r="C235" s="46"/>
      <c r="D235" s="62"/>
      <c r="E235" s="62"/>
      <c r="F235" s="62"/>
      <c r="G235" s="62"/>
      <c r="H235" s="62"/>
      <c r="I235" s="62"/>
      <c r="J235" s="62"/>
      <c r="K235" s="62"/>
      <c r="L235" s="62"/>
      <c r="M235" s="62"/>
      <c r="N235" s="62"/>
      <c r="O235" s="62"/>
    </row>
    <row r="236" spans="1:15" x14ac:dyDescent="0.25">
      <c r="A236" s="46"/>
      <c r="B236" s="46"/>
      <c r="C236" s="46"/>
      <c r="D236" s="62"/>
      <c r="E236" s="62"/>
      <c r="F236" s="62"/>
      <c r="G236" s="62"/>
      <c r="H236" s="62"/>
      <c r="I236" s="62"/>
      <c r="J236" s="62"/>
      <c r="K236" s="62"/>
      <c r="L236" s="62"/>
      <c r="M236" s="62"/>
      <c r="N236" s="62"/>
      <c r="O236" s="62"/>
    </row>
    <row r="237" spans="1:15" x14ac:dyDescent="0.25">
      <c r="A237" s="46"/>
      <c r="B237" s="46"/>
      <c r="C237" s="46"/>
      <c r="D237" s="62"/>
      <c r="E237" s="62"/>
      <c r="F237" s="62"/>
      <c r="G237" s="62"/>
      <c r="H237" s="62"/>
      <c r="I237" s="62"/>
      <c r="J237" s="62"/>
      <c r="K237" s="62"/>
      <c r="L237" s="62"/>
      <c r="M237" s="62"/>
      <c r="N237" s="62"/>
      <c r="O237" s="62"/>
    </row>
    <row r="238" spans="1:15" x14ac:dyDescent="0.25">
      <c r="A238" s="46"/>
      <c r="B238" s="46"/>
      <c r="C238" s="46"/>
      <c r="D238" s="62"/>
      <c r="E238" s="62"/>
      <c r="F238" s="62"/>
      <c r="G238" s="62"/>
      <c r="H238" s="62"/>
      <c r="I238" s="62"/>
      <c r="J238" s="62"/>
      <c r="K238" s="62"/>
      <c r="L238" s="62"/>
      <c r="M238" s="62"/>
      <c r="N238" s="62"/>
      <c r="O238" s="62"/>
    </row>
    <row r="239" spans="1:15" x14ac:dyDescent="0.25">
      <c r="A239" s="46"/>
      <c r="B239" s="46"/>
      <c r="C239" s="46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</row>
    <row r="240" spans="1:15" x14ac:dyDescent="0.25">
      <c r="A240" s="46"/>
      <c r="B240" s="46"/>
      <c r="C240" s="46"/>
      <c r="D240" s="62"/>
      <c r="E240" s="62"/>
      <c r="F240" s="62"/>
      <c r="G240" s="62"/>
      <c r="H240" s="62"/>
      <c r="I240" s="62"/>
      <c r="J240" s="62"/>
      <c r="K240" s="62"/>
      <c r="L240" s="62"/>
      <c r="M240" s="62"/>
      <c r="N240" s="62"/>
      <c r="O240" s="62"/>
    </row>
    <row r="241" spans="1:15" x14ac:dyDescent="0.25">
      <c r="A241" s="46"/>
      <c r="B241" s="46"/>
      <c r="C241" s="46"/>
      <c r="D241" s="62"/>
      <c r="E241" s="62"/>
      <c r="F241" s="62"/>
      <c r="G241" s="62"/>
      <c r="H241" s="62"/>
      <c r="I241" s="62"/>
      <c r="J241" s="62"/>
      <c r="K241" s="62"/>
      <c r="L241" s="62"/>
      <c r="M241" s="62"/>
      <c r="N241" s="62"/>
      <c r="O241" s="62"/>
    </row>
    <row r="242" spans="1:15" x14ac:dyDescent="0.25">
      <c r="A242" s="46"/>
      <c r="B242" s="46"/>
      <c r="C242" s="46"/>
      <c r="D242" s="62"/>
      <c r="E242" s="62"/>
      <c r="F242" s="62"/>
      <c r="G242" s="62"/>
      <c r="H242" s="62"/>
      <c r="I242" s="62"/>
      <c r="J242" s="62"/>
      <c r="K242" s="62"/>
      <c r="L242" s="62"/>
      <c r="M242" s="62"/>
      <c r="N242" s="62"/>
      <c r="O242" s="62"/>
    </row>
    <row r="243" spans="1:15" x14ac:dyDescent="0.25">
      <c r="A243" s="46"/>
      <c r="B243" s="46"/>
      <c r="C243" s="46"/>
      <c r="D243" s="62"/>
      <c r="E243" s="62"/>
      <c r="F243" s="62"/>
      <c r="G243" s="62"/>
      <c r="H243" s="62"/>
      <c r="I243" s="62"/>
      <c r="J243" s="62"/>
      <c r="K243" s="62"/>
      <c r="L243" s="62"/>
      <c r="M243" s="62"/>
      <c r="N243" s="62"/>
      <c r="O243" s="62"/>
    </row>
    <row r="244" spans="1:15" x14ac:dyDescent="0.25">
      <c r="A244" s="46"/>
      <c r="B244" s="46"/>
      <c r="C244" s="46"/>
      <c r="D244" s="62"/>
      <c r="E244" s="62"/>
      <c r="F244" s="62"/>
      <c r="G244" s="62"/>
      <c r="H244" s="62"/>
      <c r="I244" s="62"/>
      <c r="J244" s="62"/>
      <c r="K244" s="62"/>
      <c r="L244" s="62"/>
      <c r="M244" s="62"/>
      <c r="N244" s="62"/>
      <c r="O244" s="62"/>
    </row>
    <row r="245" spans="1:15" x14ac:dyDescent="0.25">
      <c r="A245" s="46"/>
      <c r="B245" s="46"/>
      <c r="C245" s="46"/>
      <c r="D245" s="62"/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62"/>
    </row>
    <row r="246" spans="1:15" x14ac:dyDescent="0.25">
      <c r="A246" s="46"/>
      <c r="B246" s="46"/>
      <c r="C246" s="46"/>
      <c r="D246" s="62"/>
      <c r="E246" s="62"/>
      <c r="F246" s="62"/>
      <c r="G246" s="62"/>
      <c r="H246" s="62"/>
      <c r="I246" s="62"/>
      <c r="J246" s="62"/>
      <c r="K246" s="62"/>
      <c r="L246" s="62"/>
      <c r="M246" s="62"/>
      <c r="N246" s="62"/>
      <c r="O246" s="62"/>
    </row>
    <row r="247" spans="1:15" x14ac:dyDescent="0.25">
      <c r="A247" s="46"/>
      <c r="B247" s="46"/>
      <c r="C247" s="46"/>
      <c r="D247" s="62"/>
      <c r="E247" s="62"/>
      <c r="F247" s="62"/>
      <c r="G247" s="62"/>
      <c r="H247" s="62"/>
      <c r="I247" s="62"/>
      <c r="J247" s="62"/>
      <c r="K247" s="62"/>
      <c r="L247" s="62"/>
      <c r="M247" s="62"/>
      <c r="N247" s="62"/>
      <c r="O247" s="62"/>
    </row>
    <row r="248" spans="1:15" x14ac:dyDescent="0.25">
      <c r="A248" s="46"/>
      <c r="B248" s="46"/>
      <c r="C248" s="46"/>
      <c r="D248" s="62"/>
      <c r="E248" s="62"/>
      <c r="F248" s="62"/>
      <c r="G248" s="62"/>
      <c r="H248" s="62"/>
      <c r="I248" s="62"/>
      <c r="J248" s="62"/>
      <c r="K248" s="62"/>
      <c r="L248" s="62"/>
      <c r="M248" s="62"/>
      <c r="N248" s="62"/>
      <c r="O248" s="62"/>
    </row>
    <row r="249" spans="1:15" x14ac:dyDescent="0.25">
      <c r="A249" s="46"/>
      <c r="B249" s="46"/>
      <c r="C249" s="46"/>
      <c r="D249" s="62"/>
      <c r="E249" s="62"/>
      <c r="F249" s="62"/>
      <c r="G249" s="62"/>
      <c r="H249" s="62"/>
      <c r="I249" s="62"/>
      <c r="J249" s="62"/>
      <c r="K249" s="62"/>
      <c r="L249" s="62"/>
      <c r="M249" s="62"/>
      <c r="N249" s="62"/>
      <c r="O249" s="62"/>
    </row>
    <row r="250" spans="1:15" x14ac:dyDescent="0.25">
      <c r="A250" s="46"/>
      <c r="B250" s="46"/>
      <c r="C250" s="46"/>
      <c r="D250" s="62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62"/>
    </row>
    <row r="251" spans="1:15" x14ac:dyDescent="0.25">
      <c r="A251" s="46"/>
      <c r="B251" s="46"/>
      <c r="C251" s="46"/>
      <c r="D251" s="62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</row>
    <row r="252" spans="1:15" x14ac:dyDescent="0.25">
      <c r="A252" s="46"/>
      <c r="B252" s="46"/>
      <c r="C252" s="46"/>
      <c r="D252" s="62"/>
      <c r="E252" s="62"/>
      <c r="F252" s="62"/>
      <c r="G252" s="62"/>
      <c r="H252" s="62"/>
      <c r="I252" s="62"/>
      <c r="J252" s="62"/>
      <c r="K252" s="62"/>
      <c r="L252" s="62"/>
      <c r="M252" s="62"/>
      <c r="N252" s="62"/>
      <c r="O252" s="62"/>
    </row>
    <row r="253" spans="1:15" x14ac:dyDescent="0.25">
      <c r="A253" s="46"/>
      <c r="B253" s="46"/>
      <c r="C253" s="46"/>
      <c r="D253" s="62"/>
      <c r="E253" s="62"/>
      <c r="F253" s="62"/>
      <c r="G253" s="62"/>
      <c r="H253" s="62"/>
      <c r="I253" s="62"/>
      <c r="J253" s="62"/>
      <c r="K253" s="62"/>
      <c r="L253" s="62"/>
      <c r="M253" s="62"/>
      <c r="N253" s="62"/>
      <c r="O253" s="62"/>
    </row>
    <row r="254" spans="1:15" x14ac:dyDescent="0.25">
      <c r="A254" s="46"/>
      <c r="B254" s="46"/>
      <c r="C254" s="46"/>
      <c r="D254" s="62"/>
      <c r="E254" s="62"/>
      <c r="F254" s="62"/>
      <c r="G254" s="62"/>
      <c r="H254" s="62"/>
      <c r="I254" s="62"/>
      <c r="J254" s="62"/>
      <c r="K254" s="62"/>
      <c r="L254" s="62"/>
      <c r="M254" s="62"/>
      <c r="N254" s="62"/>
      <c r="O254" s="62"/>
    </row>
    <row r="255" spans="1:15" x14ac:dyDescent="0.25">
      <c r="A255" s="46"/>
      <c r="B255" s="46"/>
      <c r="C255" s="46"/>
      <c r="D255" s="62"/>
      <c r="E255" s="62"/>
      <c r="F255" s="62"/>
      <c r="G255" s="62"/>
      <c r="H255" s="62"/>
      <c r="I255" s="62"/>
      <c r="J255" s="62"/>
      <c r="K255" s="62"/>
      <c r="L255" s="62"/>
      <c r="M255" s="62"/>
      <c r="N255" s="62"/>
      <c r="O255" s="62"/>
    </row>
    <row r="256" spans="1:15" x14ac:dyDescent="0.25">
      <c r="A256" s="46"/>
      <c r="B256" s="46"/>
      <c r="C256" s="46"/>
      <c r="D256" s="62"/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62"/>
    </row>
    <row r="257" spans="1:15" x14ac:dyDescent="0.25">
      <c r="A257" s="46"/>
      <c r="B257" s="46"/>
      <c r="C257" s="46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62"/>
    </row>
    <row r="258" spans="1:15" x14ac:dyDescent="0.25">
      <c r="A258" s="46"/>
      <c r="B258" s="46"/>
      <c r="C258" s="46"/>
      <c r="D258" s="62"/>
      <c r="E258" s="62"/>
      <c r="F258" s="62"/>
      <c r="G258" s="62"/>
      <c r="H258" s="62"/>
      <c r="I258" s="62"/>
      <c r="J258" s="62"/>
      <c r="K258" s="62"/>
      <c r="L258" s="62"/>
      <c r="M258" s="62"/>
      <c r="N258" s="62"/>
      <c r="O258" s="62"/>
    </row>
    <row r="259" spans="1:15" x14ac:dyDescent="0.25">
      <c r="A259" s="46"/>
      <c r="B259" s="46"/>
      <c r="C259" s="46"/>
      <c r="D259" s="62"/>
      <c r="E259" s="62"/>
      <c r="F259" s="62"/>
      <c r="G259" s="62"/>
      <c r="H259" s="62"/>
      <c r="I259" s="62"/>
      <c r="J259" s="62"/>
      <c r="K259" s="62"/>
      <c r="L259" s="62"/>
      <c r="M259" s="62"/>
      <c r="N259" s="62"/>
      <c r="O259" s="62"/>
    </row>
    <row r="260" spans="1:15" x14ac:dyDescent="0.25">
      <c r="A260" s="46"/>
      <c r="B260" s="46"/>
      <c r="C260" s="46"/>
      <c r="D260" s="62"/>
      <c r="E260" s="62"/>
      <c r="F260" s="62"/>
      <c r="G260" s="62"/>
      <c r="H260" s="62"/>
      <c r="I260" s="62"/>
      <c r="J260" s="62"/>
      <c r="K260" s="62"/>
      <c r="L260" s="62"/>
      <c r="M260" s="62"/>
      <c r="N260" s="62"/>
      <c r="O260" s="62"/>
    </row>
    <row r="261" spans="1:15" x14ac:dyDescent="0.25">
      <c r="A261" s="46"/>
      <c r="B261" s="46"/>
      <c r="C261" s="46"/>
      <c r="D261" s="62"/>
      <c r="E261" s="62"/>
      <c r="F261" s="62"/>
      <c r="G261" s="62"/>
      <c r="H261" s="62"/>
      <c r="I261" s="62"/>
      <c r="J261" s="62"/>
      <c r="K261" s="62"/>
      <c r="L261" s="62"/>
      <c r="M261" s="62"/>
      <c r="N261" s="62"/>
      <c r="O261" s="62"/>
    </row>
    <row r="262" spans="1:15" x14ac:dyDescent="0.25">
      <c r="A262" s="46"/>
      <c r="B262" s="46"/>
      <c r="C262" s="46"/>
      <c r="D262" s="62"/>
      <c r="E262" s="62"/>
      <c r="F262" s="62"/>
      <c r="G262" s="62"/>
      <c r="H262" s="62"/>
      <c r="I262" s="62"/>
      <c r="J262" s="62"/>
      <c r="K262" s="62"/>
      <c r="L262" s="62"/>
      <c r="M262" s="62"/>
      <c r="N262" s="62"/>
      <c r="O262" s="62"/>
    </row>
    <row r="263" spans="1:15" x14ac:dyDescent="0.25">
      <c r="A263" s="46"/>
      <c r="B263" s="46"/>
      <c r="C263" s="46"/>
      <c r="D263" s="62"/>
      <c r="E263" s="62"/>
      <c r="F263" s="62"/>
      <c r="G263" s="62"/>
      <c r="H263" s="62"/>
      <c r="I263" s="62"/>
      <c r="J263" s="62"/>
      <c r="K263" s="62"/>
      <c r="L263" s="62"/>
      <c r="M263" s="62"/>
      <c r="N263" s="62"/>
      <c r="O263" s="62"/>
    </row>
    <row r="264" spans="1:15" x14ac:dyDescent="0.25">
      <c r="A264" s="46"/>
      <c r="B264" s="46"/>
      <c r="C264" s="46"/>
      <c r="D264" s="62"/>
      <c r="E264" s="62"/>
      <c r="F264" s="62"/>
      <c r="G264" s="62"/>
      <c r="H264" s="62"/>
      <c r="I264" s="62"/>
      <c r="J264" s="62"/>
      <c r="K264" s="62"/>
      <c r="L264" s="62"/>
      <c r="M264" s="62"/>
      <c r="N264" s="62"/>
      <c r="O264" s="62"/>
    </row>
    <row r="265" spans="1:15" x14ac:dyDescent="0.25">
      <c r="A265" s="46"/>
      <c r="B265" s="46"/>
      <c r="C265" s="46"/>
      <c r="D265" s="62"/>
      <c r="E265" s="62"/>
      <c r="F265" s="62"/>
      <c r="G265" s="62"/>
      <c r="H265" s="62"/>
      <c r="I265" s="62"/>
      <c r="J265" s="62"/>
      <c r="K265" s="62"/>
      <c r="L265" s="62"/>
      <c r="M265" s="62"/>
      <c r="N265" s="62"/>
      <c r="O265" s="62"/>
    </row>
    <row r="266" spans="1:15" x14ac:dyDescent="0.25">
      <c r="A266" s="46"/>
      <c r="B266" s="46"/>
      <c r="C266" s="46"/>
      <c r="D266" s="62"/>
      <c r="E266" s="62"/>
      <c r="F266" s="62"/>
      <c r="G266" s="62"/>
      <c r="H266" s="62"/>
      <c r="I266" s="62"/>
      <c r="J266" s="62"/>
      <c r="K266" s="62"/>
      <c r="L266" s="62"/>
      <c r="M266" s="62"/>
      <c r="N266" s="62"/>
      <c r="O266" s="62"/>
    </row>
    <row r="267" spans="1:15" x14ac:dyDescent="0.25">
      <c r="A267" s="46"/>
      <c r="B267" s="46"/>
      <c r="C267" s="46"/>
      <c r="D267" s="62"/>
      <c r="E267" s="62"/>
      <c r="F267" s="62"/>
      <c r="G267" s="62"/>
      <c r="H267" s="62"/>
      <c r="I267" s="62"/>
      <c r="J267" s="62"/>
      <c r="K267" s="62"/>
      <c r="L267" s="62"/>
      <c r="M267" s="62"/>
      <c r="N267" s="62"/>
      <c r="O267" s="62"/>
    </row>
    <row r="268" spans="1:15" x14ac:dyDescent="0.25">
      <c r="A268" s="46"/>
      <c r="B268" s="46"/>
      <c r="C268" s="46"/>
      <c r="D268" s="62"/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62"/>
    </row>
    <row r="269" spans="1:15" x14ac:dyDescent="0.25">
      <c r="A269" s="46"/>
      <c r="B269" s="46"/>
      <c r="C269" s="46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62"/>
    </row>
    <row r="270" spans="1:15" x14ac:dyDescent="0.25">
      <c r="A270" s="46"/>
      <c r="B270" s="46"/>
      <c r="C270" s="46"/>
      <c r="D270" s="62"/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62"/>
    </row>
    <row r="271" spans="1:15" x14ac:dyDescent="0.25">
      <c r="A271" s="46"/>
      <c r="B271" s="46"/>
      <c r="C271" s="46"/>
      <c r="D271" s="62"/>
      <c r="E271" s="62"/>
      <c r="F271" s="62"/>
      <c r="G271" s="62"/>
      <c r="H271" s="62"/>
      <c r="I271" s="62"/>
      <c r="J271" s="62"/>
      <c r="K271" s="62"/>
      <c r="L271" s="62"/>
      <c r="M271" s="62"/>
      <c r="N271" s="62"/>
      <c r="O271" s="62"/>
    </row>
    <row r="272" spans="1:15" x14ac:dyDescent="0.25">
      <c r="A272" s="46"/>
      <c r="B272" s="46"/>
      <c r="C272" s="46"/>
      <c r="D272" s="62"/>
      <c r="E272" s="62"/>
      <c r="F272" s="62"/>
      <c r="G272" s="62"/>
      <c r="H272" s="62"/>
      <c r="I272" s="62"/>
      <c r="J272" s="62"/>
      <c r="K272" s="62"/>
      <c r="L272" s="62"/>
      <c r="M272" s="62"/>
      <c r="N272" s="62"/>
      <c r="O272" s="62"/>
    </row>
    <row r="273" spans="1:15" x14ac:dyDescent="0.25">
      <c r="A273" s="46"/>
      <c r="B273" s="46"/>
      <c r="C273" s="46"/>
      <c r="D273" s="62"/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62"/>
    </row>
    <row r="274" spans="1:15" x14ac:dyDescent="0.25">
      <c r="A274" s="46"/>
      <c r="B274" s="46"/>
      <c r="C274" s="46"/>
      <c r="D274" s="62"/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62"/>
    </row>
    <row r="275" spans="1:15" x14ac:dyDescent="0.25">
      <c r="A275" s="46"/>
      <c r="B275" s="46"/>
      <c r="C275" s="46"/>
      <c r="D275" s="62"/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62"/>
    </row>
    <row r="276" spans="1:15" x14ac:dyDescent="0.25">
      <c r="A276" s="46"/>
      <c r="B276" s="46"/>
      <c r="C276" s="46"/>
      <c r="D276" s="62"/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62"/>
    </row>
    <row r="277" spans="1:15" x14ac:dyDescent="0.25">
      <c r="A277" s="46"/>
      <c r="B277" s="46"/>
      <c r="C277" s="46"/>
      <c r="D277" s="62"/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62"/>
    </row>
    <row r="278" spans="1:15" x14ac:dyDescent="0.25">
      <c r="A278" s="46"/>
      <c r="B278" s="46"/>
      <c r="C278" s="46"/>
      <c r="D278" s="62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62"/>
    </row>
    <row r="279" spans="1:15" x14ac:dyDescent="0.25">
      <c r="A279" s="46"/>
      <c r="B279" s="46"/>
      <c r="C279" s="46"/>
      <c r="D279" s="62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62"/>
    </row>
    <row r="280" spans="1:15" x14ac:dyDescent="0.25">
      <c r="A280" s="46"/>
      <c r="B280" s="46"/>
      <c r="C280" s="46"/>
      <c r="D280" s="62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62"/>
    </row>
    <row r="281" spans="1:15" x14ac:dyDescent="0.25">
      <c r="A281" s="46"/>
      <c r="B281" s="46"/>
      <c r="C281" s="46"/>
      <c r="D281" s="62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62"/>
    </row>
  </sheetData>
  <sheetProtection password="EFAC" sheet="1" objects="1" scenarios="1"/>
  <autoFilter ref="A7:C7"/>
  <mergeCells count="1">
    <mergeCell ref="D6:O6"/>
  </mergeCells>
  <conditionalFormatting sqref="D8:O281">
    <cfRule type="expression" dxfId="0" priority="1">
      <formula>D8=""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8" r:id="rId3" name="Edit_meeting_button">
          <controlPr defaultSize="0" autoLine="0" r:id="rId4">
            <anchor moveWithCells="1">
              <from>
                <xdr:col>0</xdr:col>
                <xdr:colOff>295275</xdr:colOff>
                <xdr:row>3</xdr:row>
                <xdr:rowOff>38100</xdr:rowOff>
              </from>
              <to>
                <xdr:col>1</xdr:col>
                <xdr:colOff>352425</xdr:colOff>
                <xdr:row>4</xdr:row>
                <xdr:rowOff>171450</xdr:rowOff>
              </to>
            </anchor>
          </controlPr>
        </control>
      </mc:Choice>
      <mc:Fallback>
        <control shapeId="11268" r:id="rId3" name="Edit_meeting_button"/>
      </mc:Fallback>
    </mc:AlternateContent>
    <mc:AlternateContent xmlns:mc="http://schemas.openxmlformats.org/markup-compatibility/2006">
      <mc:Choice Requires="x14">
        <control shapeId="11266" r:id="rId5" name="CommandButton1">
          <controlPr defaultSize="0" autoLine="0" r:id="rId6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352425</xdr:colOff>
                <xdr:row>2</xdr:row>
                <xdr:rowOff>85725</xdr:rowOff>
              </to>
            </anchor>
          </controlPr>
        </control>
      </mc:Choice>
      <mc:Fallback>
        <control shapeId="11266" r:id="rId5" name="CommandButton1"/>
      </mc:Fallback>
    </mc:AlternateContent>
    <mc:AlternateContent xmlns:mc="http://schemas.openxmlformats.org/markup-compatibility/2006">
      <mc:Choice Requires="x14">
        <control shapeId="11267" r:id="rId7" name="CommandButton2">
          <controlPr defaultSize="0" autoLine="0" r:id="rId8">
            <anchor moveWithCells="1">
              <from>
                <xdr:col>1</xdr:col>
                <xdr:colOff>1114425</xdr:colOff>
                <xdr:row>1</xdr:row>
                <xdr:rowOff>152400</xdr:rowOff>
              </from>
              <to>
                <xdr:col>2</xdr:col>
                <xdr:colOff>1190625</xdr:colOff>
                <xdr:row>3</xdr:row>
                <xdr:rowOff>114300</xdr:rowOff>
              </to>
            </anchor>
          </controlPr>
        </control>
      </mc:Choice>
      <mc:Fallback>
        <control shapeId="11267" r:id="rId7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R18"/>
  <sheetViews>
    <sheetView showGridLines="0" showRowColHeaders="0" workbookViewId="0"/>
  </sheetViews>
  <sheetFormatPr defaultRowHeight="15" x14ac:dyDescent="0.25"/>
  <cols>
    <col min="1" max="1" width="14.140625" style="48" bestFit="1" customWidth="1"/>
    <col min="2" max="2" width="9.140625" style="48"/>
    <col min="3" max="3" width="12.5703125" style="48" bestFit="1" customWidth="1"/>
    <col min="4" max="6" width="0" style="48" hidden="1" customWidth="1"/>
    <col min="7" max="7" width="19.7109375" style="48" bestFit="1" customWidth="1"/>
    <col min="8" max="10" width="0" style="48" hidden="1" customWidth="1"/>
    <col min="11" max="11" width="17.85546875" style="48" bestFit="1" customWidth="1"/>
    <col min="12" max="12" width="20.28515625" style="48" bestFit="1" customWidth="1"/>
    <col min="13" max="13" width="16.140625" style="48" bestFit="1" customWidth="1"/>
    <col min="14" max="14" width="13.5703125" style="48" bestFit="1" customWidth="1"/>
    <col min="15" max="15" width="9.140625" style="48"/>
    <col min="16" max="16" width="9.140625" style="48" customWidth="1"/>
    <col min="17" max="17" width="17.42578125" style="48" bestFit="1" customWidth="1"/>
    <col min="18" max="18" width="14.5703125" bestFit="1" customWidth="1"/>
  </cols>
  <sheetData>
    <row r="3" spans="1:18" ht="15.75" x14ac:dyDescent="0.25">
      <c r="A3" s="2" t="s">
        <v>0</v>
      </c>
      <c r="B3" s="2" t="s">
        <v>1</v>
      </c>
      <c r="C3" s="2" t="s">
        <v>3</v>
      </c>
      <c r="D3" s="56" t="s">
        <v>7</v>
      </c>
      <c r="E3" s="56" t="s">
        <v>8</v>
      </c>
      <c r="F3" s="2" t="s">
        <v>9</v>
      </c>
      <c r="G3" s="2" t="s">
        <v>2</v>
      </c>
      <c r="H3" s="2" t="s">
        <v>7</v>
      </c>
      <c r="I3" s="2" t="s">
        <v>8</v>
      </c>
      <c r="J3" s="2" t="s">
        <v>9</v>
      </c>
      <c r="K3" s="2" t="s">
        <v>43</v>
      </c>
      <c r="L3" s="2" t="s">
        <v>4</v>
      </c>
      <c r="M3" s="2" t="s">
        <v>5</v>
      </c>
      <c r="N3" s="2" t="s">
        <v>94</v>
      </c>
      <c r="O3" s="2" t="s">
        <v>95</v>
      </c>
      <c r="P3" s="2" t="s">
        <v>97</v>
      </c>
      <c r="Q3" s="2" t="s">
        <v>96</v>
      </c>
      <c r="R3" s="2" t="s">
        <v>102</v>
      </c>
    </row>
    <row r="4" spans="1:18" x14ac:dyDescent="0.25">
      <c r="A4" s="46" t="s">
        <v>106</v>
      </c>
      <c r="B4" s="46" t="s">
        <v>107</v>
      </c>
      <c r="C4" s="46" t="s">
        <v>23</v>
      </c>
      <c r="D4" s="52" t="s">
        <v>108</v>
      </c>
      <c r="E4" s="52" t="s">
        <v>79</v>
      </c>
      <c r="F4" s="46">
        <v>2014</v>
      </c>
      <c r="G4" s="50">
        <f t="shared" ref="G4:G8" si="0">IFERROR(DATE(F4,E4,D4),"")</f>
        <v>41792</v>
      </c>
      <c r="H4" s="52" t="s">
        <v>109</v>
      </c>
      <c r="I4" s="52" t="s">
        <v>79</v>
      </c>
      <c r="J4" s="46">
        <v>2014</v>
      </c>
      <c r="K4" s="50">
        <f t="shared" ref="K4:K8" si="1">IFERROR(DATE(J4,I4,H4),"")</f>
        <v>41815</v>
      </c>
      <c r="L4" s="46" t="s">
        <v>36</v>
      </c>
      <c r="M4" s="46" t="s">
        <v>6</v>
      </c>
      <c r="N4" s="46" t="s">
        <v>135</v>
      </c>
      <c r="O4" s="46" t="s">
        <v>105</v>
      </c>
      <c r="P4" s="46" t="s">
        <v>135</v>
      </c>
      <c r="Q4" s="46">
        <v>1</v>
      </c>
      <c r="R4" t="s">
        <v>99</v>
      </c>
    </row>
    <row r="5" spans="1:18" x14ac:dyDescent="0.25">
      <c r="A5" s="46" t="s">
        <v>136</v>
      </c>
      <c r="B5" s="46" t="s">
        <v>133</v>
      </c>
      <c r="C5" s="46" t="s">
        <v>24</v>
      </c>
      <c r="D5" s="52" t="s">
        <v>134</v>
      </c>
      <c r="E5" s="52" t="s">
        <v>80</v>
      </c>
      <c r="F5" s="46">
        <v>2013</v>
      </c>
      <c r="G5" s="50">
        <f t="shared" si="0"/>
        <v>41484</v>
      </c>
      <c r="H5" s="52" t="s">
        <v>85</v>
      </c>
      <c r="I5" s="52" t="s">
        <v>75</v>
      </c>
      <c r="J5" s="46">
        <v>2014</v>
      </c>
      <c r="K5" s="50">
        <f t="shared" si="1"/>
        <v>41682</v>
      </c>
      <c r="L5" s="46" t="s">
        <v>38</v>
      </c>
      <c r="M5" s="46" t="s">
        <v>34</v>
      </c>
      <c r="N5" s="46" t="s">
        <v>135</v>
      </c>
      <c r="O5" s="46" t="s">
        <v>105</v>
      </c>
      <c r="P5" s="46" t="s">
        <v>135</v>
      </c>
      <c r="Q5" s="46">
        <v>1</v>
      </c>
      <c r="R5" t="s">
        <v>99</v>
      </c>
    </row>
    <row r="6" spans="1:18" x14ac:dyDescent="0.25">
      <c r="A6" s="46" t="s">
        <v>106</v>
      </c>
      <c r="B6" s="46" t="s">
        <v>107</v>
      </c>
      <c r="C6" s="46" t="s">
        <v>23</v>
      </c>
      <c r="D6" s="52" t="s">
        <v>108</v>
      </c>
      <c r="E6" s="52" t="s">
        <v>79</v>
      </c>
      <c r="F6" s="46">
        <v>2014</v>
      </c>
      <c r="G6" s="50">
        <f t="shared" si="0"/>
        <v>41792</v>
      </c>
      <c r="H6" s="52" t="s">
        <v>109</v>
      </c>
      <c r="I6" s="52" t="s">
        <v>79</v>
      </c>
      <c r="J6" s="46">
        <v>2014</v>
      </c>
      <c r="K6" s="50">
        <f t="shared" si="1"/>
        <v>41815</v>
      </c>
      <c r="L6" s="46" t="s">
        <v>36</v>
      </c>
      <c r="M6" s="46" t="s">
        <v>6</v>
      </c>
      <c r="N6" s="46" t="s">
        <v>135</v>
      </c>
      <c r="O6" s="46" t="s">
        <v>105</v>
      </c>
      <c r="P6" s="46" t="s">
        <v>135</v>
      </c>
      <c r="Q6" s="46">
        <v>0</v>
      </c>
      <c r="R6" t="s">
        <v>99</v>
      </c>
    </row>
    <row r="7" spans="1:18" x14ac:dyDescent="0.25">
      <c r="A7" s="46" t="s">
        <v>136</v>
      </c>
      <c r="B7" s="46" t="s">
        <v>133</v>
      </c>
      <c r="C7" s="46" t="s">
        <v>24</v>
      </c>
      <c r="D7" s="52" t="s">
        <v>134</v>
      </c>
      <c r="E7" s="52" t="s">
        <v>80</v>
      </c>
      <c r="F7" s="46">
        <v>2013</v>
      </c>
      <c r="G7" s="50">
        <f t="shared" si="0"/>
        <v>41484</v>
      </c>
      <c r="H7" s="52" t="s">
        <v>85</v>
      </c>
      <c r="I7" s="52" t="s">
        <v>75</v>
      </c>
      <c r="J7" s="46">
        <v>2014</v>
      </c>
      <c r="K7" s="50">
        <f t="shared" si="1"/>
        <v>41682</v>
      </c>
      <c r="L7" s="46" t="s">
        <v>38</v>
      </c>
      <c r="M7" s="46" t="s">
        <v>34</v>
      </c>
      <c r="N7" s="46" t="s">
        <v>135</v>
      </c>
      <c r="O7" s="46" t="s">
        <v>105</v>
      </c>
      <c r="P7" s="46" t="s">
        <v>135</v>
      </c>
      <c r="Q7" s="46">
        <v>1</v>
      </c>
      <c r="R7" t="s">
        <v>99</v>
      </c>
    </row>
    <row r="8" spans="1:18" x14ac:dyDescent="0.25">
      <c r="A8" s="57" t="s">
        <v>106</v>
      </c>
      <c r="B8" s="57" t="s">
        <v>207</v>
      </c>
      <c r="C8" s="57" t="s">
        <v>23</v>
      </c>
      <c r="D8" s="65" t="s">
        <v>108</v>
      </c>
      <c r="E8" s="65" t="s">
        <v>79</v>
      </c>
      <c r="F8" s="57">
        <v>2014</v>
      </c>
      <c r="G8" s="50">
        <f t="shared" si="0"/>
        <v>41792</v>
      </c>
      <c r="H8" s="65" t="s">
        <v>109</v>
      </c>
      <c r="I8" s="65" t="s">
        <v>79</v>
      </c>
      <c r="J8" s="57">
        <v>2014</v>
      </c>
      <c r="K8" s="50">
        <f t="shared" si="1"/>
        <v>41815</v>
      </c>
      <c r="L8" s="57" t="s">
        <v>39</v>
      </c>
      <c r="M8" s="57" t="s">
        <v>184</v>
      </c>
      <c r="N8" s="57"/>
      <c r="O8" s="57"/>
      <c r="P8" s="57"/>
      <c r="Q8" s="57"/>
      <c r="R8" t="s">
        <v>99</v>
      </c>
    </row>
    <row r="9" spans="1:18" x14ac:dyDescent="0.25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46"/>
    </row>
    <row r="10" spans="1:18" x14ac:dyDescent="0.25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46"/>
    </row>
    <row r="11" spans="1:18" x14ac:dyDescent="0.25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46"/>
    </row>
    <row r="12" spans="1:18" x14ac:dyDescent="0.25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46"/>
    </row>
    <row r="13" spans="1:18" x14ac:dyDescent="0.25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46"/>
    </row>
    <row r="14" spans="1:18" x14ac:dyDescent="0.25">
      <c r="A14" s="57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46"/>
    </row>
    <row r="15" spans="1:18" x14ac:dyDescent="0.25">
      <c r="A15" s="57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46"/>
    </row>
    <row r="16" spans="1:18" x14ac:dyDescent="0.25">
      <c r="A16" s="57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46"/>
    </row>
    <row r="17" spans="1:18" x14ac:dyDescent="0.25">
      <c r="A17" s="57"/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46"/>
    </row>
    <row r="18" spans="1:18" x14ac:dyDescent="0.25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46"/>
    </row>
  </sheetData>
  <sheetProtection password="EFAC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2"/>
  <sheetViews>
    <sheetView topLeftCell="H1" workbookViewId="0">
      <selection activeCell="S2" sqref="S2"/>
    </sheetView>
  </sheetViews>
  <sheetFormatPr defaultRowHeight="15" x14ac:dyDescent="0.25"/>
  <cols>
    <col min="4" max="4" width="23.28515625" bestFit="1" customWidth="1"/>
    <col min="5" max="5" width="22.85546875" bestFit="1" customWidth="1"/>
    <col min="6" max="6" width="15.5703125" bestFit="1" customWidth="1"/>
    <col min="7" max="7" width="20.42578125" bestFit="1" customWidth="1"/>
    <col min="9" max="9" width="11.42578125" bestFit="1" customWidth="1"/>
    <col min="12" max="12" width="10.7109375" bestFit="1" customWidth="1"/>
    <col min="14" max="14" width="16.140625" bestFit="1" customWidth="1"/>
    <col min="15" max="15" width="12.140625" bestFit="1" customWidth="1"/>
    <col min="16" max="16" width="22" bestFit="1" customWidth="1"/>
    <col min="17" max="18" width="14.42578125" bestFit="1" customWidth="1"/>
  </cols>
  <sheetData>
    <row r="1" spans="1:22" x14ac:dyDescent="0.25">
      <c r="A1" s="1" t="s">
        <v>7</v>
      </c>
      <c r="B1" s="1" t="s">
        <v>8</v>
      </c>
      <c r="C1" s="1" t="s">
        <v>9</v>
      </c>
      <c r="D1" s="1" t="s">
        <v>33</v>
      </c>
      <c r="E1" s="1" t="s">
        <v>5</v>
      </c>
      <c r="F1" s="1" t="s">
        <v>35</v>
      </c>
      <c r="G1" s="1" t="s">
        <v>59</v>
      </c>
      <c r="H1" s="1" t="s">
        <v>8</v>
      </c>
      <c r="J1" s="1" t="s">
        <v>89</v>
      </c>
      <c r="L1" s="1" t="s">
        <v>93</v>
      </c>
      <c r="M1" s="1" t="s">
        <v>127</v>
      </c>
      <c r="N1" s="58" t="s">
        <v>101</v>
      </c>
      <c r="O1" s="1" t="s">
        <v>103</v>
      </c>
      <c r="P1" s="1" t="s">
        <v>137</v>
      </c>
      <c r="Q1" s="1" t="s">
        <v>62</v>
      </c>
      <c r="R1" s="1" t="s">
        <v>138</v>
      </c>
      <c r="S1" s="1" t="s">
        <v>139</v>
      </c>
      <c r="V1" s="1" t="s">
        <v>206</v>
      </c>
    </row>
    <row r="2" spans="1:22" x14ac:dyDescent="0.25">
      <c r="A2">
        <v>1</v>
      </c>
      <c r="B2" s="51" t="s">
        <v>74</v>
      </c>
      <c r="C2">
        <v>2012</v>
      </c>
      <c r="D2" t="s">
        <v>22</v>
      </c>
      <c r="E2" t="s">
        <v>184</v>
      </c>
      <c r="F2" t="s">
        <v>37</v>
      </c>
      <c r="G2" s="59" t="s">
        <v>110</v>
      </c>
      <c r="H2" t="s">
        <v>13</v>
      </c>
      <c r="I2" t="s">
        <v>90</v>
      </c>
      <c r="J2">
        <v>500</v>
      </c>
      <c r="L2" s="55">
        <v>41640</v>
      </c>
      <c r="M2">
        <v>1</v>
      </c>
      <c r="N2" t="s">
        <v>99</v>
      </c>
      <c r="O2" t="s">
        <v>104</v>
      </c>
      <c r="P2">
        <v>5</v>
      </c>
      <c r="Q2" t="s">
        <v>141</v>
      </c>
      <c r="R2" s="59" t="s">
        <v>57</v>
      </c>
      <c r="S2" s="59" t="s">
        <v>110</v>
      </c>
      <c r="V2" s="68" t="s">
        <v>179</v>
      </c>
    </row>
    <row r="3" spans="1:22" x14ac:dyDescent="0.25">
      <c r="A3">
        <v>2</v>
      </c>
      <c r="B3" s="51" t="s">
        <v>75</v>
      </c>
      <c r="C3">
        <v>2013</v>
      </c>
      <c r="D3" t="s">
        <v>23</v>
      </c>
      <c r="E3" t="s">
        <v>32</v>
      </c>
      <c r="F3" t="s">
        <v>36</v>
      </c>
      <c r="G3" s="59" t="s">
        <v>111</v>
      </c>
      <c r="H3" t="s">
        <v>14</v>
      </c>
      <c r="L3" s="55">
        <v>41670</v>
      </c>
      <c r="M3">
        <v>2</v>
      </c>
      <c r="N3" t="s">
        <v>100</v>
      </c>
      <c r="O3" t="s">
        <v>105</v>
      </c>
      <c r="Q3" t="s">
        <v>142</v>
      </c>
      <c r="R3" s="59" t="s">
        <v>56</v>
      </c>
      <c r="S3" s="59" t="s">
        <v>111</v>
      </c>
      <c r="V3" s="68" t="s">
        <v>167</v>
      </c>
    </row>
    <row r="4" spans="1:22" x14ac:dyDescent="0.25">
      <c r="A4">
        <v>3</v>
      </c>
      <c r="B4" s="51" t="s">
        <v>76</v>
      </c>
      <c r="C4">
        <v>2014</v>
      </c>
      <c r="D4" t="s">
        <v>24</v>
      </c>
      <c r="E4" t="s">
        <v>34</v>
      </c>
      <c r="F4" t="s">
        <v>38</v>
      </c>
      <c r="G4" s="59" t="s">
        <v>112</v>
      </c>
      <c r="H4" t="s">
        <v>15</v>
      </c>
      <c r="L4" s="55">
        <v>41671</v>
      </c>
      <c r="M4">
        <v>3</v>
      </c>
      <c r="R4" s="59" t="s">
        <v>54</v>
      </c>
      <c r="S4" s="59" t="s">
        <v>112</v>
      </c>
      <c r="V4" s="68" t="s">
        <v>176</v>
      </c>
    </row>
    <row r="5" spans="1:22" x14ac:dyDescent="0.25">
      <c r="A5">
        <v>4</v>
      </c>
      <c r="B5" s="51" t="s">
        <v>77</v>
      </c>
      <c r="C5">
        <v>2015</v>
      </c>
      <c r="D5" t="s">
        <v>25</v>
      </c>
      <c r="E5" t="s">
        <v>88</v>
      </c>
      <c r="F5" t="s">
        <v>39</v>
      </c>
      <c r="G5" s="59" t="s">
        <v>113</v>
      </c>
      <c r="H5" t="s">
        <v>16</v>
      </c>
      <c r="L5" s="55">
        <v>41698</v>
      </c>
      <c r="M5">
        <v>4</v>
      </c>
      <c r="Q5" t="s">
        <v>127</v>
      </c>
      <c r="R5" s="59" t="s">
        <v>55</v>
      </c>
      <c r="S5" s="59" t="s">
        <v>113</v>
      </c>
      <c r="V5" s="43"/>
    </row>
    <row r="6" spans="1:22" x14ac:dyDescent="0.25">
      <c r="A6">
        <v>5</v>
      </c>
      <c r="B6" s="51" t="s">
        <v>78</v>
      </c>
      <c r="D6" t="s">
        <v>26</v>
      </c>
      <c r="E6" t="s">
        <v>187</v>
      </c>
      <c r="F6" t="s">
        <v>40</v>
      </c>
      <c r="G6" s="59" t="s">
        <v>114</v>
      </c>
      <c r="H6" t="s">
        <v>17</v>
      </c>
      <c r="L6" s="55">
        <v>41699</v>
      </c>
      <c r="Q6">
        <v>1</v>
      </c>
      <c r="R6" s="59" t="s">
        <v>117</v>
      </c>
      <c r="S6" s="59" t="s">
        <v>114</v>
      </c>
    </row>
    <row r="7" spans="1:22" x14ac:dyDescent="0.25">
      <c r="A7">
        <v>6</v>
      </c>
      <c r="B7" s="51" t="s">
        <v>79</v>
      </c>
      <c r="D7" t="s">
        <v>27</v>
      </c>
      <c r="E7" t="s">
        <v>185</v>
      </c>
      <c r="F7" t="s">
        <v>41</v>
      </c>
      <c r="G7" s="59" t="s">
        <v>115</v>
      </c>
      <c r="H7" t="s">
        <v>18</v>
      </c>
      <c r="L7" s="55">
        <v>41729</v>
      </c>
      <c r="Q7">
        <v>2</v>
      </c>
      <c r="R7" s="59" t="s">
        <v>118</v>
      </c>
      <c r="S7" s="59" t="s">
        <v>115</v>
      </c>
    </row>
    <row r="8" spans="1:22" x14ac:dyDescent="0.25">
      <c r="A8">
        <v>7</v>
      </c>
      <c r="B8" s="51" t="s">
        <v>80</v>
      </c>
      <c r="D8" t="s">
        <v>28</v>
      </c>
      <c r="E8" t="s">
        <v>186</v>
      </c>
      <c r="F8" t="s">
        <v>42</v>
      </c>
      <c r="G8" s="59" t="s">
        <v>116</v>
      </c>
      <c r="H8" t="s">
        <v>19</v>
      </c>
      <c r="L8" s="55">
        <v>41730</v>
      </c>
      <c r="Q8">
        <v>3</v>
      </c>
      <c r="R8" s="59" t="s">
        <v>119</v>
      </c>
      <c r="S8" s="59" t="s">
        <v>116</v>
      </c>
    </row>
    <row r="9" spans="1:22" x14ac:dyDescent="0.25">
      <c r="A9">
        <v>8</v>
      </c>
      <c r="B9" s="51" t="s">
        <v>81</v>
      </c>
      <c r="D9" t="s">
        <v>29</v>
      </c>
      <c r="F9" t="s">
        <v>181</v>
      </c>
      <c r="G9" s="59" t="s">
        <v>57</v>
      </c>
      <c r="H9" t="s">
        <v>20</v>
      </c>
      <c r="L9" s="55">
        <v>41759</v>
      </c>
      <c r="Q9">
        <v>4</v>
      </c>
      <c r="R9" s="59" t="s">
        <v>140</v>
      </c>
    </row>
    <row r="10" spans="1:22" x14ac:dyDescent="0.25">
      <c r="A10">
        <v>9</v>
      </c>
      <c r="B10" s="51" t="s">
        <v>82</v>
      </c>
      <c r="D10" t="s">
        <v>30</v>
      </c>
      <c r="F10" t="s">
        <v>182</v>
      </c>
      <c r="G10" s="60" t="s">
        <v>56</v>
      </c>
      <c r="H10" t="s">
        <v>21</v>
      </c>
      <c r="L10" s="55">
        <v>41760</v>
      </c>
      <c r="Q10" t="s">
        <v>147</v>
      </c>
      <c r="R10" s="59" t="s">
        <v>121</v>
      </c>
    </row>
    <row r="11" spans="1:22" x14ac:dyDescent="0.25">
      <c r="A11">
        <v>10</v>
      </c>
      <c r="B11" s="51" t="s">
        <v>83</v>
      </c>
      <c r="D11" t="s">
        <v>31</v>
      </c>
      <c r="G11" s="59" t="s">
        <v>54</v>
      </c>
      <c r="H11" t="s">
        <v>10</v>
      </c>
      <c r="L11" s="55">
        <v>41790</v>
      </c>
      <c r="R11" s="59" t="s">
        <v>122</v>
      </c>
    </row>
    <row r="12" spans="1:22" x14ac:dyDescent="0.25">
      <c r="A12">
        <v>11</v>
      </c>
      <c r="B12" s="51" t="s">
        <v>84</v>
      </c>
      <c r="G12" s="59" t="s">
        <v>55</v>
      </c>
      <c r="H12" t="s">
        <v>11</v>
      </c>
      <c r="L12" s="55">
        <v>41791</v>
      </c>
      <c r="R12" s="59" t="s">
        <v>123</v>
      </c>
    </row>
    <row r="13" spans="1:22" x14ac:dyDescent="0.25">
      <c r="A13">
        <v>12</v>
      </c>
      <c r="B13" s="51" t="s">
        <v>85</v>
      </c>
      <c r="G13" s="59" t="s">
        <v>117</v>
      </c>
      <c r="H13" t="s">
        <v>12</v>
      </c>
      <c r="L13" s="55">
        <v>41820</v>
      </c>
      <c r="R13" s="59" t="s">
        <v>124</v>
      </c>
    </row>
    <row r="14" spans="1:22" x14ac:dyDescent="0.25">
      <c r="A14">
        <v>13</v>
      </c>
      <c r="G14" s="59" t="s">
        <v>118</v>
      </c>
      <c r="L14" s="55">
        <v>41821</v>
      </c>
      <c r="R14" s="59" t="s">
        <v>125</v>
      </c>
    </row>
    <row r="15" spans="1:22" x14ac:dyDescent="0.25">
      <c r="A15">
        <v>14</v>
      </c>
      <c r="G15" s="59" t="s">
        <v>119</v>
      </c>
      <c r="L15" s="55">
        <v>41851</v>
      </c>
      <c r="R15" s="59" t="s">
        <v>126</v>
      </c>
    </row>
    <row r="16" spans="1:22" x14ac:dyDescent="0.25">
      <c r="A16">
        <v>15</v>
      </c>
      <c r="G16" s="59" t="s">
        <v>120</v>
      </c>
      <c r="L16" s="55">
        <v>41852</v>
      </c>
      <c r="R16" t="s">
        <v>128</v>
      </c>
    </row>
    <row r="17" spans="1:18" x14ac:dyDescent="0.25">
      <c r="A17">
        <v>16</v>
      </c>
      <c r="G17" s="59" t="s">
        <v>121</v>
      </c>
      <c r="L17" s="55">
        <v>41882</v>
      </c>
      <c r="R17" t="s">
        <v>129</v>
      </c>
    </row>
    <row r="18" spans="1:18" x14ac:dyDescent="0.25">
      <c r="A18">
        <v>17</v>
      </c>
      <c r="G18" s="59" t="s">
        <v>122</v>
      </c>
      <c r="L18" s="55">
        <v>41883</v>
      </c>
      <c r="R18" t="s">
        <v>130</v>
      </c>
    </row>
    <row r="19" spans="1:18" x14ac:dyDescent="0.25">
      <c r="A19">
        <v>18</v>
      </c>
      <c r="G19" s="59" t="s">
        <v>123</v>
      </c>
      <c r="L19" s="55">
        <v>41912</v>
      </c>
    </row>
    <row r="20" spans="1:18" x14ac:dyDescent="0.25">
      <c r="A20">
        <v>19</v>
      </c>
      <c r="G20" s="59" t="s">
        <v>124</v>
      </c>
      <c r="L20" s="55">
        <v>41913</v>
      </c>
    </row>
    <row r="21" spans="1:18" x14ac:dyDescent="0.25">
      <c r="A21">
        <v>20</v>
      </c>
      <c r="G21" s="59" t="s">
        <v>125</v>
      </c>
      <c r="L21" s="55">
        <v>41943</v>
      </c>
    </row>
    <row r="22" spans="1:18" x14ac:dyDescent="0.25">
      <c r="A22">
        <v>21</v>
      </c>
      <c r="G22" s="59" t="s">
        <v>126</v>
      </c>
      <c r="L22" s="55">
        <v>41944</v>
      </c>
    </row>
    <row r="23" spans="1:18" x14ac:dyDescent="0.25">
      <c r="A23">
        <v>22</v>
      </c>
      <c r="G23" s="61" t="s">
        <v>128</v>
      </c>
      <c r="L23" s="55">
        <v>41973</v>
      </c>
    </row>
    <row r="24" spans="1:18" x14ac:dyDescent="0.25">
      <c r="A24">
        <v>23</v>
      </c>
      <c r="G24" s="61" t="s">
        <v>129</v>
      </c>
      <c r="L24" s="55">
        <v>41974</v>
      </c>
    </row>
    <row r="25" spans="1:18" x14ac:dyDescent="0.25">
      <c r="A25">
        <v>24</v>
      </c>
      <c r="G25" s="61" t="s">
        <v>130</v>
      </c>
      <c r="L25" s="55">
        <v>42004</v>
      </c>
    </row>
    <row r="26" spans="1:18" x14ac:dyDescent="0.25">
      <c r="A26">
        <v>25</v>
      </c>
      <c r="L26" s="55"/>
    </row>
    <row r="27" spans="1:18" x14ac:dyDescent="0.25">
      <c r="A27">
        <v>26</v>
      </c>
      <c r="L27" s="55"/>
    </row>
    <row r="28" spans="1:18" x14ac:dyDescent="0.25">
      <c r="A28">
        <v>27</v>
      </c>
      <c r="L28" s="55"/>
    </row>
    <row r="29" spans="1:18" x14ac:dyDescent="0.25">
      <c r="A29">
        <v>28</v>
      </c>
      <c r="L29" s="55"/>
    </row>
    <row r="30" spans="1:18" x14ac:dyDescent="0.25">
      <c r="A30">
        <v>29</v>
      </c>
      <c r="L30" s="55"/>
    </row>
    <row r="31" spans="1:18" x14ac:dyDescent="0.25">
      <c r="A31">
        <v>30</v>
      </c>
      <c r="L31" s="55"/>
    </row>
    <row r="32" spans="1:18" x14ac:dyDescent="0.25">
      <c r="A32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P20"/>
  <sheetViews>
    <sheetView workbookViewId="0">
      <selection activeCell="M4" sqref="M4:M10"/>
    </sheetView>
  </sheetViews>
  <sheetFormatPr defaultRowHeight="15" x14ac:dyDescent="0.25"/>
  <cols>
    <col min="3" max="3" width="17.42578125" bestFit="1" customWidth="1"/>
    <col min="5" max="5" width="20.7109375" bestFit="1" customWidth="1"/>
    <col min="6" max="6" width="22.42578125" bestFit="1" customWidth="1"/>
    <col min="8" max="8" width="20.28515625" bestFit="1" customWidth="1"/>
    <col min="10" max="10" width="14.42578125" bestFit="1" customWidth="1"/>
    <col min="11" max="11" width="11.7109375" bestFit="1" customWidth="1"/>
    <col min="13" max="13" width="15.42578125" bestFit="1" customWidth="1"/>
    <col min="14" max="14" width="11.7109375" bestFit="1" customWidth="1"/>
  </cols>
  <sheetData>
    <row r="2" spans="1:16" x14ac:dyDescent="0.25">
      <c r="A2" s="81" t="s">
        <v>60</v>
      </c>
      <c r="B2" s="81"/>
      <c r="C2" s="81"/>
      <c r="F2" s="54"/>
    </row>
    <row r="3" spans="1:16" s="1" customFormat="1" x14ac:dyDescent="0.25">
      <c r="B3" s="1" t="s">
        <v>8</v>
      </c>
      <c r="C3" s="1" t="s">
        <v>61</v>
      </c>
      <c r="E3" s="1" t="s">
        <v>87</v>
      </c>
      <c r="F3" s="1" t="s">
        <v>91</v>
      </c>
      <c r="H3" s="1" t="s">
        <v>143</v>
      </c>
      <c r="J3" s="1" t="s">
        <v>138</v>
      </c>
      <c r="K3" s="1" t="s">
        <v>144</v>
      </c>
      <c r="M3" s="1" t="s">
        <v>139</v>
      </c>
      <c r="N3" s="1" t="s">
        <v>144</v>
      </c>
      <c r="P3" s="1" t="s">
        <v>138</v>
      </c>
    </row>
    <row r="4" spans="1:16" x14ac:dyDescent="0.25">
      <c r="B4">
        <v>2013</v>
      </c>
      <c r="C4">
        <v>5</v>
      </c>
      <c r="E4" t="s">
        <v>184</v>
      </c>
      <c r="F4">
        <f>COUNTIF(Associate_tracker!$M$7:$M$500,E4)</f>
        <v>6</v>
      </c>
      <c r="H4" s="63">
        <v>1</v>
      </c>
      <c r="J4" t="s">
        <v>57</v>
      </c>
      <c r="K4">
        <f>COUNTIF(Skill_Tracker!$L$10:$L$32,3)+ COUNTIF(Skill_Tracker!$L$10:$L$32,4)</f>
        <v>2</v>
      </c>
      <c r="M4" t="s">
        <v>110</v>
      </c>
      <c r="N4">
        <f>COUNTIF(Skill_Tracker!$E$10:$E$32,3)+ COUNTIF(Skill_Tracker!$E$10:$E$32,4)</f>
        <v>0</v>
      </c>
      <c r="P4" s="1" t="s">
        <v>139</v>
      </c>
    </row>
    <row r="5" spans="1:16" x14ac:dyDescent="0.25">
      <c r="A5">
        <v>1</v>
      </c>
      <c r="B5" t="s">
        <v>63</v>
      </c>
      <c r="C5">
        <f>COUNTIFS(Associate_tracker!$I$7:$I$58,Summary_Data!A5,Associate_tracker!$J$7:$J$58,2014)+C4</f>
        <v>7</v>
      </c>
      <c r="E5" t="s">
        <v>32</v>
      </c>
      <c r="F5">
        <f>COUNTIF(Associate_tracker!$M$7:$M$500,E5)</f>
        <v>6</v>
      </c>
      <c r="H5" t="str">
        <f>INDEX(P3:P4,H4)</f>
        <v>Technical Skills</v>
      </c>
      <c r="J5" t="s">
        <v>56</v>
      </c>
      <c r="K5">
        <f>COUNTIF(Skill_Tracker!$M$10:$M$32,3)+ COUNTIF(Skill_Tracker!$M$10:$M$32,4)</f>
        <v>2</v>
      </c>
      <c r="M5" t="s">
        <v>111</v>
      </c>
      <c r="N5">
        <f>COUNTIF(Skill_Tracker!$F$10:$F$32,3)+ COUNTIF(Skill_Tracker!$F$10:$F$32,4)</f>
        <v>1</v>
      </c>
    </row>
    <row r="6" spans="1:16" x14ac:dyDescent="0.25">
      <c r="A6" s="43">
        <v>2</v>
      </c>
      <c r="B6" s="43" t="s">
        <v>98</v>
      </c>
      <c r="C6">
        <f>COUNTIFS(Associate_tracker!$I$7:$I$58,Summary_Data!A6,Associate_tracker!$J$7:$J$58,2014)+C5</f>
        <v>10</v>
      </c>
      <c r="D6" s="43"/>
      <c r="E6" s="43" t="s">
        <v>34</v>
      </c>
      <c r="F6">
        <f>COUNTIF(Associate_tracker!$M$7:$M$500,E6)</f>
        <v>2</v>
      </c>
      <c r="J6" t="s">
        <v>54</v>
      </c>
      <c r="K6">
        <f>COUNTIF(Skill_Tracker!$N$10:$N$32,3)+ COUNTIF(Skill_Tracker!$N$10:$N$32,4)</f>
        <v>0</v>
      </c>
      <c r="M6" t="s">
        <v>112</v>
      </c>
      <c r="N6">
        <f>COUNTIF(Skill_Tracker!$G$10:$G$32,3)+ COUNTIF(Skill_Tracker!$G$10:$G$32,4)</f>
        <v>1</v>
      </c>
    </row>
    <row r="7" spans="1:16" x14ac:dyDescent="0.25">
      <c r="A7">
        <v>3</v>
      </c>
      <c r="B7" t="s">
        <v>64</v>
      </c>
      <c r="C7">
        <f>COUNTIFS(Associate_tracker!$I$7:$I$58,Summary_Data!A7,Associate_tracker!$J$7:$J$58,2014)+C6</f>
        <v>11</v>
      </c>
      <c r="E7" t="s">
        <v>88</v>
      </c>
      <c r="F7">
        <f>COUNTIF(Associate_tracker!$M$7:$M$500,E7)</f>
        <v>0</v>
      </c>
      <c r="J7" t="s">
        <v>55</v>
      </c>
      <c r="K7">
        <f>COUNTIF(Skill_Tracker!$O$10:$O$32,3)+ COUNTIF(Skill_Tracker!$O$10:$O$32,4)</f>
        <v>1</v>
      </c>
      <c r="M7" t="s">
        <v>113</v>
      </c>
      <c r="N7">
        <f>COUNTIF(Skill_Tracker!$H$10:$H$32,3)+ COUNTIF(Skill_Tracker!$H$10:$H$32,4)</f>
        <v>1</v>
      </c>
    </row>
    <row r="8" spans="1:16" x14ac:dyDescent="0.25">
      <c r="A8">
        <v>4</v>
      </c>
      <c r="B8" t="s">
        <v>65</v>
      </c>
      <c r="C8">
        <f>COUNTIFS(Associate_tracker!$I$7:$I$58,Summary_Data!A8,Associate_tracker!$J$7:$J$58,2014)+C7</f>
        <v>13</v>
      </c>
      <c r="E8" t="s">
        <v>187</v>
      </c>
      <c r="F8">
        <f>COUNTIF(Associate_tracker!$M$7:$M$500,E8)</f>
        <v>1</v>
      </c>
      <c r="J8" t="s">
        <v>117</v>
      </c>
      <c r="K8">
        <f>COUNTIF(Skill_Tracker!$P$10:$P$32,3)+ COUNTIF(Skill_Tracker!$P$10:$P$32,4)</f>
        <v>0</v>
      </c>
      <c r="M8" t="s">
        <v>114</v>
      </c>
      <c r="N8">
        <f>COUNTIF(Skill_Tracker!$I$10:$I$32,3)+ COUNTIF(Skill_Tracker!$I$10:$I$32,4)</f>
        <v>0</v>
      </c>
    </row>
    <row r="9" spans="1:16" x14ac:dyDescent="0.25">
      <c r="A9">
        <v>5</v>
      </c>
      <c r="B9" t="s">
        <v>66</v>
      </c>
      <c r="C9">
        <f>COUNTIFS(Associate_tracker!$I$7:$I$58,Summary_Data!A9,Associate_tracker!$J$7:$J$58,2014)+C8</f>
        <v>15</v>
      </c>
      <c r="E9" t="s">
        <v>185</v>
      </c>
      <c r="F9">
        <f>COUNTIF(Associate_tracker!$M$7:$M$500,E9)</f>
        <v>5</v>
      </c>
      <c r="H9">
        <f>IF(H4=1,10,7)</f>
        <v>10</v>
      </c>
      <c r="J9" t="s">
        <v>118</v>
      </c>
      <c r="K9">
        <f>COUNTIF(Skill_Tracker!$Q$10:$Q$32,3)+ COUNTIF(Skill_Tracker!$Q$10:$Q$32,4)</f>
        <v>0</v>
      </c>
      <c r="M9" t="s">
        <v>115</v>
      </c>
      <c r="N9">
        <f>COUNTIF(Skill_Tracker!$J$10:$J$32,3)+ COUNTIF(Skill_Tracker!$J$10:$J$32,4)</f>
        <v>0</v>
      </c>
    </row>
    <row r="10" spans="1:16" x14ac:dyDescent="0.25">
      <c r="A10">
        <v>6</v>
      </c>
      <c r="B10" t="s">
        <v>67</v>
      </c>
      <c r="C10">
        <f>COUNTIFS(Associate_tracker!$I$7:$I$58,Summary_Data!A10,Associate_tracker!$J$7:$J$58,2014)+C9</f>
        <v>20</v>
      </c>
      <c r="E10" t="s">
        <v>186</v>
      </c>
      <c r="F10">
        <f>COUNTIF(Associate_tracker!$M$7:$M$500,E10)</f>
        <v>2</v>
      </c>
      <c r="J10" t="s">
        <v>119</v>
      </c>
      <c r="K10">
        <f>COUNTIF(Skill_Tracker!$R$10:$R$32,3)+ COUNTIF(Skill_Tracker!$R$10:$R$32,4)</f>
        <v>0</v>
      </c>
      <c r="M10" t="s">
        <v>116</v>
      </c>
      <c r="N10">
        <f>COUNTIF(Skill_Tracker!$K$10:$K$32,3)+ COUNTIF(Skill_Tracker!$K$10:$K$32,4)</f>
        <v>0</v>
      </c>
    </row>
    <row r="11" spans="1:16" x14ac:dyDescent="0.25">
      <c r="A11">
        <v>7</v>
      </c>
      <c r="B11" t="s">
        <v>68</v>
      </c>
      <c r="C11">
        <f>COUNTIFS(Associate_tracker!$I$7:$I$58,Summary_Data!A11,Associate_tracker!$J$7:$J$58,2014)+C10</f>
        <v>22</v>
      </c>
      <c r="J11" t="s">
        <v>140</v>
      </c>
      <c r="K11">
        <f>COUNTIF(Skill_Tracker!$S$10:$S$32,3)+ COUNTIF(Skill_Tracker!$S$10:$S$32,4)</f>
        <v>0</v>
      </c>
    </row>
    <row r="12" spans="1:16" x14ac:dyDescent="0.25">
      <c r="A12">
        <v>8</v>
      </c>
      <c r="B12" t="s">
        <v>69</v>
      </c>
      <c r="C12">
        <f>COUNTIFS(Associate_tracker!$I$7:$I$58,Summary_Data!A12,Associate_tracker!$J$7:$J$58,2014)+C11</f>
        <v>22</v>
      </c>
      <c r="J12" t="s">
        <v>121</v>
      </c>
      <c r="K12">
        <f>COUNTIF(Skill_Tracker!$T$10:$T$32,3)+ COUNTIF(Skill_Tracker!$T$10:$T$32,4)</f>
        <v>0</v>
      </c>
    </row>
    <row r="13" spans="1:16" x14ac:dyDescent="0.25">
      <c r="A13">
        <v>9</v>
      </c>
      <c r="B13" t="s">
        <v>70</v>
      </c>
      <c r="C13">
        <f>COUNTIFS(Associate_tracker!$I$7:$I$58,Summary_Data!A13,Associate_tracker!$J$7:$J$58,2014)+C12</f>
        <v>22</v>
      </c>
      <c r="J13" t="s">
        <v>122</v>
      </c>
      <c r="K13">
        <f>COUNTIF(Skill_Tracker!$U$10:$U$32,3)+ COUNTIF(Skill_Tracker!$U$10:$U$32,4)</f>
        <v>0</v>
      </c>
    </row>
    <row r="14" spans="1:16" x14ac:dyDescent="0.25">
      <c r="A14">
        <v>10</v>
      </c>
      <c r="B14" t="s">
        <v>71</v>
      </c>
      <c r="C14">
        <f>COUNTIFS(Associate_tracker!$I$7:$I$58,Summary_Data!A14,Associate_tracker!$J$7:$J$58,2014)+C13</f>
        <v>22</v>
      </c>
      <c r="J14" t="s">
        <v>123</v>
      </c>
      <c r="K14">
        <f>COUNTIF(Skill_Tracker!$V$10:$V$32,3)+ COUNTIF(Skill_Tracker!$V$10:$V$32,4)</f>
        <v>0</v>
      </c>
    </row>
    <row r="15" spans="1:16" x14ac:dyDescent="0.25">
      <c r="A15">
        <v>11</v>
      </c>
      <c r="B15" t="s">
        <v>72</v>
      </c>
      <c r="C15">
        <f>COUNTIFS(Associate_tracker!$I$7:$I$58,Summary_Data!A15,Associate_tracker!$J$7:$J$58,2014)+C14</f>
        <v>22</v>
      </c>
      <c r="J15" t="s">
        <v>124</v>
      </c>
      <c r="K15">
        <f>COUNTIF(Skill_Tracker!$W$10:$W$32,3)+ COUNTIF(Skill_Tracker!$W$10:$W$32,4)</f>
        <v>0</v>
      </c>
    </row>
    <row r="16" spans="1:16" x14ac:dyDescent="0.25">
      <c r="A16">
        <v>12</v>
      </c>
      <c r="B16" t="s">
        <v>73</v>
      </c>
      <c r="C16">
        <f>COUNTIFS(Associate_tracker!$I$7:$I$58,Summary_Data!A16,Associate_tracker!$J$7:$J$58,2014)+C15</f>
        <v>22</v>
      </c>
      <c r="G16" t="e">
        <f ca="1">OFFSET(IF(Summary_Data!$H$4=1,Summary_Data!J4:J13,IF(Summary_Data!$H$4=2,Summary_Data!$M$4:$M$10)),0,0,Summary_Data!$H$9,1)</f>
        <v>#VALUE!</v>
      </c>
      <c r="J16" t="s">
        <v>125</v>
      </c>
      <c r="K16">
        <f>COUNTIF(Skill_Tracker!$X$10:$X$32,3)+ COUNTIF(Skill_Tracker!$X$10:$X$32,4)</f>
        <v>0</v>
      </c>
    </row>
    <row r="17" spans="7:11" x14ac:dyDescent="0.25">
      <c r="G17" t="e">
        <f ca="1">OFFSET(IF(Summary_Data!$H$4=1,Summary_Data!$K$4:$K$13,IF(Summary_Data!$H$4=2,Summary_Data!$N$4:$N$10)),0,0,Summary_Data!$H$9,1)</f>
        <v>#VALUE!</v>
      </c>
      <c r="J17" t="s">
        <v>126</v>
      </c>
      <c r="K17">
        <f>COUNTIF(Skill_Tracker!$Y$10:$Y$32,3)+ COUNTIF(Skill_Tracker!$Y$10:$Y$32,4)</f>
        <v>0</v>
      </c>
    </row>
    <row r="18" spans="7:11" x14ac:dyDescent="0.25">
      <c r="J18" t="s">
        <v>128</v>
      </c>
      <c r="K18">
        <f>COUNTIF(Skill_Tracker!$Z$10:$Z$32,3)+ COUNTIF(Skill_Tracker!$Z$10:$Z$32,4)</f>
        <v>0</v>
      </c>
    </row>
    <row r="19" spans="7:11" x14ac:dyDescent="0.25">
      <c r="J19" t="s">
        <v>129</v>
      </c>
      <c r="K19">
        <f>COUNTIF(Skill_Tracker!$AA$10:$AA$32,3)+ COUNTIF(Skill_Tracker!$AA$10:$AA$32,4)</f>
        <v>0</v>
      </c>
    </row>
    <row r="20" spans="7:11" x14ac:dyDescent="0.25">
      <c r="J20" t="s">
        <v>130</v>
      </c>
      <c r="K20">
        <f>COUNTIF(Skill_Tracker!$AB$10:$AB$32,3)+ COUNTIF(Skill_Tracker!$AB$10:$AB$32,4)</f>
        <v>0</v>
      </c>
    </row>
  </sheetData>
  <sheetProtection password="EFAC" sheet="1" objects="1" scenarios="1"/>
  <mergeCells count="1">
    <mergeCell ref="A2:C2"/>
  </mergeCell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oneonone" Type="http://schemas.openxmlformats.org/officeDocument/2006/relationships/image" Target="images/oneonone.jpg"/><Relationship Id="credentials" Type="http://schemas.openxmlformats.org/officeDocument/2006/relationships/image" Target="images/credentials.jpg"/><Relationship Id="skills" Type="http://schemas.openxmlformats.org/officeDocument/2006/relationships/image" Target="images/skills.jpg"/><Relationship Id="associate" Type="http://schemas.openxmlformats.org/officeDocument/2006/relationships/image" Target="images/associate.png"/><Relationship Id="leave" Type="http://schemas.openxmlformats.org/officeDocument/2006/relationships/image" Target="images/leave.jpg"/><Relationship Id="home" Type="http://schemas.openxmlformats.org/officeDocument/2006/relationships/image" Target="images/home.png"/><Relationship Id="remove" Type="http://schemas.openxmlformats.org/officeDocument/2006/relationships/image" Target="images/remove.png"/></Relationships>
</file>

<file path=customUI/customUI14.xml><?xml version="1.0" encoding="utf-8"?>
<!-- Dated 10 Oct 2013 -->
<!-- BFS Tracker Dashboard -->
<customUI xmlns="http://schemas.microsoft.com/office/2009/07/customui">
  <commands>
    <command idMso="ApplicationOptionsDialog" enabled="false"/>
    <command idMso="FileExit" enabled="true"/>
  </commands>
  <!--ribbon-->
  <ribbon startFromScratch="true">
    <tabs>
      <tab id="Tab1" insertBeforeMso="TabHome" label="BFS Tracker" keytip="z">
        <!-- Group1 SUMMARY -->
        <group id="GroupSummary" label="Summary">
          <separator id="MySeparator_sep1"/>
          <button id="Button_Summary" label="BFS Overview" size="large" onAction="Custom_Btn_Summary" image="home"/>
          <separator id="MySeparator_sep2"/>
        </group>
        <!-- Group3 Performance-->
        <group id="GroupPerformance" label="BFS Tracker">
          <separator id="MySeparator_sep3"/>
          <button id="Button2.1" label="Associate Tracker" size="large" onAction="associate" image="associate"/>
          <separator id="MySeparator_sep4"/>
          <separator id="MySeparator_sep5"/>
          <button id="Button2.2" label="Skill Set Tracker" size="large" onAction="skills" image="skills"/>
          <separator id="MySeparator_sep6"/>
          <separator id="MySeparator_sep7"/>
          <button id="Button2.3" label="Leave Tracker" size="large" onAction="leaves" image="leave"/>
          <separator id="MySeparator_sep8"/>
          <separator id="MySeparator_sep9"/>
          <button id="Button2.4" label="1-on-1 Tracker" size="large" onAction="oneonone" image="oneonone"/>
          <separator id="MySeparator_sep10"/>
          <separator id="MySeparator_sep11"/>
          <button id="Button2.5" label="Removed Associates" size="large" onAction="removd" image="remove"/>
          <separator id="MySeparator_sep12"/>
        </group>
        <!-- AllGroup ABOUT-->
        <group id="Group30" label="ABOUT">
          <separator id="MySeparator_amitSri2"/>
          <button id="Button311" label="Credentials" size="large" onAction="Custom_Btn_Credentials" image="credentials" screentip="   Axtria Knowledge Centre" supertip="Dashboard is created by BFS-Axtria Team."/>
          <separator id="MySeparator_amitSri3"/>
        </group>
        <!-- END ALL GROUP END ************************************************************************ AllG 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Summary</vt:lpstr>
      <vt:lpstr>Associate_tracker</vt:lpstr>
      <vt:lpstr>Skill_Tracker</vt:lpstr>
      <vt:lpstr>Leave_Tracker</vt:lpstr>
      <vt:lpstr>One On One</vt:lpstr>
      <vt:lpstr>Removed Associates</vt:lpstr>
      <vt:lpstr>Controls</vt:lpstr>
      <vt:lpstr>Summary_Data</vt:lpstr>
      <vt:lpstr>chart_project</vt:lpstr>
      <vt:lpstr>Date</vt:lpstr>
      <vt:lpstr>Month</vt:lpstr>
      <vt:lpstr>Year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 Gautam</dc:creator>
  <cp:lastModifiedBy>Pranava Mateti</cp:lastModifiedBy>
  <dcterms:created xsi:type="dcterms:W3CDTF">2014-07-18T07:40:06Z</dcterms:created>
  <dcterms:modified xsi:type="dcterms:W3CDTF">2014-08-05T11:42:08Z</dcterms:modified>
</cp:coreProperties>
</file>